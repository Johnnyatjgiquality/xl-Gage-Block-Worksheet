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Gage-Block-Worksheet\"/>
    </mc:Choice>
  </mc:AlternateContent>
  <xr:revisionPtr revIDLastSave="0" documentId="13_ncr:1_{C519AD54-CF81-4215-A6C2-BB416CFA6AC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orksheet" sheetId="2" r:id="rId1"/>
    <sheet name="Print off Sheet" sheetId="1" r:id="rId2"/>
    <sheet name="Templates" sheetId="6" r:id="rId3"/>
    <sheet name="Uncertainties" sheetId="4" r:id="rId4"/>
    <sheet name="Tolerances" sheetId="3" r:id="rId5"/>
    <sheet name="Software Validation" sheetId="5" r:id="rId6"/>
  </sheets>
  <definedNames>
    <definedName name="_xlnm.Print_Area" localSheetId="0">Worksheet!$A$1:$T$137</definedName>
    <definedName name="TemplateNames">OFFSET(Templates!$Y$4,0,0,COUNTA(Templates!$Y$4:$Y$100))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6" l="1" a="1"/>
  <c r="Y4" i="6" s="1"/>
  <c r="D136" i="2"/>
  <c r="D135" i="2"/>
  <c r="D134" i="2"/>
  <c r="D133" i="2"/>
  <c r="D132" i="2"/>
  <c r="D131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94" i="2"/>
  <c r="D90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48" i="2"/>
  <c r="D45" i="2"/>
  <c r="D6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7" i="2"/>
  <c r="D8" i="2"/>
  <c r="D9" i="2"/>
  <c r="D10" i="2"/>
  <c r="D11" i="2"/>
  <c r="D12" i="2"/>
  <c r="D13" i="2"/>
  <c r="D14" i="2"/>
  <c r="R42" i="2" l="1"/>
  <c r="G97" i="1"/>
  <c r="E97" i="1"/>
  <c r="C97" i="1"/>
  <c r="G48" i="1"/>
  <c r="E48" i="1"/>
  <c r="C48" i="1"/>
  <c r="G3" i="1"/>
  <c r="E3" i="1"/>
  <c r="C3" i="1"/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I11" i="2"/>
  <c r="I12" i="2"/>
  <c r="I13" i="2"/>
  <c r="I14" i="2"/>
  <c r="I15" i="2"/>
  <c r="I16" i="2"/>
  <c r="I17" i="2"/>
  <c r="I10" i="2"/>
  <c r="I6" i="2"/>
  <c r="E6" i="1" s="1"/>
  <c r="I7" i="2" l="1"/>
  <c r="I8" i="2"/>
  <c r="I9" i="2"/>
  <c r="F101" i="1" l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00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51" i="1"/>
  <c r="D101" i="1" l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00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51" i="1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6" i="2"/>
  <c r="D6" i="1" s="1"/>
  <c r="C51" i="1" l="1"/>
  <c r="C103" i="1"/>
  <c r="T3" i="2"/>
  <c r="E101" i="1" l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00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I95" i="2" l="1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94" i="2"/>
  <c r="I49" i="2"/>
  <c r="E52" i="1" s="1"/>
  <c r="I50" i="2"/>
  <c r="E53" i="1" s="1"/>
  <c r="I51" i="2"/>
  <c r="E54" i="1" s="1"/>
  <c r="I52" i="2"/>
  <c r="E55" i="1" s="1"/>
  <c r="I53" i="2"/>
  <c r="E56" i="1" s="1"/>
  <c r="I54" i="2"/>
  <c r="E57" i="1" s="1"/>
  <c r="I55" i="2"/>
  <c r="E58" i="1" s="1"/>
  <c r="I56" i="2"/>
  <c r="E59" i="1" s="1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48" i="2"/>
  <c r="E51" i="1" s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T47" i="2" l="1"/>
  <c r="S47" i="2"/>
  <c r="T93" i="2"/>
  <c r="S93" i="2"/>
  <c r="S91" i="2"/>
  <c r="T91" i="2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J200" i="3"/>
  <c r="AJ199" i="3"/>
  <c r="AJ198" i="3"/>
  <c r="AJ197" i="3"/>
  <c r="AJ196" i="3"/>
  <c r="AJ195" i="3"/>
  <c r="AJ194" i="3"/>
  <c r="AJ193" i="3"/>
  <c r="AJ192" i="3"/>
  <c r="AJ191" i="3"/>
  <c r="AJ190" i="3"/>
  <c r="AJ189" i="3"/>
  <c r="AJ188" i="3"/>
  <c r="AJ187" i="3"/>
  <c r="AJ186" i="3"/>
  <c r="AJ185" i="3"/>
  <c r="AJ184" i="3"/>
  <c r="AJ183" i="3"/>
  <c r="AJ182" i="3"/>
  <c r="AJ181" i="3"/>
  <c r="AJ180" i="3"/>
  <c r="AJ179" i="3"/>
  <c r="AJ178" i="3"/>
  <c r="AJ177" i="3"/>
  <c r="AJ176" i="3"/>
  <c r="AJ175" i="3"/>
  <c r="AJ174" i="3"/>
  <c r="AJ173" i="3"/>
  <c r="AJ172" i="3"/>
  <c r="AJ171" i="3"/>
  <c r="AJ170" i="3"/>
  <c r="AJ169" i="3"/>
  <c r="AJ168" i="3"/>
  <c r="AJ167" i="3"/>
  <c r="AJ166" i="3"/>
  <c r="AJ165" i="3"/>
  <c r="AJ164" i="3"/>
  <c r="AJ163" i="3"/>
  <c r="AJ162" i="3"/>
  <c r="AJ161" i="3"/>
  <c r="AJ160" i="3"/>
  <c r="AJ159" i="3"/>
  <c r="AJ158" i="3"/>
  <c r="AJ157" i="3"/>
  <c r="AJ156" i="3"/>
  <c r="AJ155" i="3"/>
  <c r="AJ154" i="3"/>
  <c r="AJ153" i="3"/>
  <c r="AJ152" i="3"/>
  <c r="AJ151" i="3"/>
  <c r="AJ150" i="3"/>
  <c r="AJ149" i="3"/>
  <c r="AJ148" i="3"/>
  <c r="AJ147" i="3"/>
  <c r="AJ146" i="3"/>
  <c r="AJ145" i="3"/>
  <c r="AJ144" i="3"/>
  <c r="AJ143" i="3"/>
  <c r="AJ142" i="3"/>
  <c r="AJ141" i="3"/>
  <c r="AJ140" i="3"/>
  <c r="AJ139" i="3"/>
  <c r="AJ138" i="3"/>
  <c r="AJ137" i="3"/>
  <c r="AJ136" i="3"/>
  <c r="AJ135" i="3"/>
  <c r="AJ134" i="3"/>
  <c r="AJ133" i="3"/>
  <c r="AJ132" i="3"/>
  <c r="AJ131" i="3"/>
  <c r="AJ130" i="3"/>
  <c r="AJ129" i="3"/>
  <c r="AJ128" i="3"/>
  <c r="AJ127" i="3"/>
  <c r="AJ126" i="3"/>
  <c r="AJ125" i="3"/>
  <c r="AJ124" i="3"/>
  <c r="AJ123" i="3"/>
  <c r="AJ122" i="3"/>
  <c r="AJ121" i="3"/>
  <c r="AJ120" i="3"/>
  <c r="AJ119" i="3"/>
  <c r="AJ118" i="3"/>
  <c r="AJ117" i="3"/>
  <c r="AJ116" i="3"/>
  <c r="AJ115" i="3"/>
  <c r="AJ114" i="3"/>
  <c r="AJ113" i="3"/>
  <c r="AJ112" i="3"/>
  <c r="AJ111" i="3"/>
  <c r="AJ110" i="3"/>
  <c r="AJ109" i="3"/>
  <c r="AJ108" i="3"/>
  <c r="AJ107" i="3"/>
  <c r="AJ106" i="3"/>
  <c r="AJ105" i="3"/>
  <c r="AJ104" i="3"/>
  <c r="AJ103" i="3"/>
  <c r="AJ102" i="3"/>
  <c r="AJ101" i="3"/>
  <c r="AJ100" i="3"/>
  <c r="AJ99" i="3"/>
  <c r="AJ98" i="3"/>
  <c r="AJ97" i="3"/>
  <c r="AJ96" i="3"/>
  <c r="AJ95" i="3"/>
  <c r="AJ94" i="3"/>
  <c r="AJ93" i="3"/>
  <c r="AJ92" i="3"/>
  <c r="AJ91" i="3"/>
  <c r="AJ90" i="3"/>
  <c r="AJ89" i="3"/>
  <c r="AJ88" i="3"/>
  <c r="AJ87" i="3"/>
  <c r="AJ86" i="3"/>
  <c r="AJ85" i="3"/>
  <c r="AJ84" i="3"/>
  <c r="AJ83" i="3"/>
  <c r="AJ82" i="3"/>
  <c r="AJ81" i="3"/>
  <c r="AJ80" i="3"/>
  <c r="AJ79" i="3"/>
  <c r="AJ78" i="3"/>
  <c r="AJ77" i="3"/>
  <c r="AJ76" i="3"/>
  <c r="AJ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Z140" i="3"/>
  <c r="Y141" i="3"/>
  <c r="Z141" i="3"/>
  <c r="Y142" i="3"/>
  <c r="Z142" i="3"/>
  <c r="Y143" i="3"/>
  <c r="Z143" i="3"/>
  <c r="Y144" i="3"/>
  <c r="Z144" i="3"/>
  <c r="Y145" i="3"/>
  <c r="Z145" i="3"/>
  <c r="Y146" i="3"/>
  <c r="Z146" i="3"/>
  <c r="Y147" i="3"/>
  <c r="Z147" i="3"/>
  <c r="Y148" i="3"/>
  <c r="Z148" i="3"/>
  <c r="Y149" i="3"/>
  <c r="Z149" i="3"/>
  <c r="Y150" i="3"/>
  <c r="Z150" i="3"/>
  <c r="Y151" i="3"/>
  <c r="Z151" i="3"/>
  <c r="Y152" i="3"/>
  <c r="Z152" i="3"/>
  <c r="Y153" i="3"/>
  <c r="Z153" i="3"/>
  <c r="Y154" i="3"/>
  <c r="Z154" i="3"/>
  <c r="Y155" i="3"/>
  <c r="Z155" i="3"/>
  <c r="Y156" i="3"/>
  <c r="Z156" i="3"/>
  <c r="Y157" i="3"/>
  <c r="Z157" i="3"/>
  <c r="Y158" i="3"/>
  <c r="Z158" i="3"/>
  <c r="Y159" i="3"/>
  <c r="Z159" i="3"/>
  <c r="Y160" i="3"/>
  <c r="Z160" i="3"/>
  <c r="Y161" i="3"/>
  <c r="Z161" i="3"/>
  <c r="Y162" i="3"/>
  <c r="Z162" i="3"/>
  <c r="Y163" i="3"/>
  <c r="Z163" i="3"/>
  <c r="Y164" i="3"/>
  <c r="Z164" i="3"/>
  <c r="Y165" i="3"/>
  <c r="Z165" i="3"/>
  <c r="Y166" i="3"/>
  <c r="Z166" i="3"/>
  <c r="Y167" i="3"/>
  <c r="Z167" i="3"/>
  <c r="Y168" i="3"/>
  <c r="Z168" i="3"/>
  <c r="Y169" i="3"/>
  <c r="Z169" i="3"/>
  <c r="Y170" i="3"/>
  <c r="Z170" i="3"/>
  <c r="Y171" i="3"/>
  <c r="Z171" i="3"/>
  <c r="Y172" i="3"/>
  <c r="Z172" i="3"/>
  <c r="Y173" i="3"/>
  <c r="Z173" i="3"/>
  <c r="Y174" i="3"/>
  <c r="Z174" i="3"/>
  <c r="Y175" i="3"/>
  <c r="Z175" i="3"/>
  <c r="Y176" i="3"/>
  <c r="Z176" i="3"/>
  <c r="Y177" i="3"/>
  <c r="Z177" i="3"/>
  <c r="Y178" i="3"/>
  <c r="Z178" i="3"/>
  <c r="Y179" i="3"/>
  <c r="Z179" i="3"/>
  <c r="Y180" i="3"/>
  <c r="Z180" i="3"/>
  <c r="Y181" i="3"/>
  <c r="Z181" i="3"/>
  <c r="Y182" i="3"/>
  <c r="Z182" i="3"/>
  <c r="Y183" i="3"/>
  <c r="Z183" i="3"/>
  <c r="Y184" i="3"/>
  <c r="Z184" i="3"/>
  <c r="Y185" i="3"/>
  <c r="AA185" i="3" s="1"/>
  <c r="Z185" i="3"/>
  <c r="Y186" i="3"/>
  <c r="Z186" i="3"/>
  <c r="Y187" i="3"/>
  <c r="Z187" i="3"/>
  <c r="Y188" i="3"/>
  <c r="Z188" i="3"/>
  <c r="Y189" i="3"/>
  <c r="AA189" i="3" s="1"/>
  <c r="Z189" i="3"/>
  <c r="Y190" i="3"/>
  <c r="Z190" i="3"/>
  <c r="Y191" i="3"/>
  <c r="Z191" i="3"/>
  <c r="Y192" i="3"/>
  <c r="Z192" i="3"/>
  <c r="Y193" i="3"/>
  <c r="AA193" i="3" s="1"/>
  <c r="Z193" i="3"/>
  <c r="Y194" i="3"/>
  <c r="Z194" i="3"/>
  <c r="Y195" i="3"/>
  <c r="Z195" i="3"/>
  <c r="Y196" i="3"/>
  <c r="Z196" i="3"/>
  <c r="Y197" i="3"/>
  <c r="AA197" i="3" s="1"/>
  <c r="Z197" i="3"/>
  <c r="Y198" i="3"/>
  <c r="Z198" i="3"/>
  <c r="Y199" i="3"/>
  <c r="Z199" i="3"/>
  <c r="Y200" i="3"/>
  <c r="Z200" i="3"/>
  <c r="B9" i="1"/>
  <c r="B6" i="1"/>
  <c r="AA199" i="3" l="1"/>
  <c r="AA191" i="3"/>
  <c r="AA183" i="3"/>
  <c r="AA171" i="3"/>
  <c r="AA163" i="3"/>
  <c r="AA155" i="3"/>
  <c r="AA143" i="3"/>
  <c r="AA195" i="3"/>
  <c r="AA187" i="3"/>
  <c r="AA179" i="3"/>
  <c r="AA175" i="3"/>
  <c r="AA167" i="3"/>
  <c r="AA159" i="3"/>
  <c r="AA151" i="3"/>
  <c r="AA147" i="3"/>
  <c r="AA181" i="3"/>
  <c r="AA177" i="3"/>
  <c r="AA173" i="3"/>
  <c r="AA169" i="3"/>
  <c r="AA165" i="3"/>
  <c r="AA161" i="3"/>
  <c r="AA157" i="3"/>
  <c r="AA153" i="3"/>
  <c r="AA149" i="3"/>
  <c r="AA145" i="3"/>
  <c r="AA141" i="3"/>
  <c r="AL140" i="3"/>
  <c r="AL144" i="3"/>
  <c r="AL148" i="3"/>
  <c r="AL152" i="3"/>
  <c r="AL156" i="3"/>
  <c r="AL160" i="3"/>
  <c r="AL164" i="3"/>
  <c r="AL168" i="3"/>
  <c r="AL172" i="3"/>
  <c r="AL176" i="3"/>
  <c r="AL180" i="3"/>
  <c r="AL184" i="3"/>
  <c r="AL188" i="3"/>
  <c r="AL192" i="3"/>
  <c r="AL196" i="3"/>
  <c r="AL200" i="3"/>
  <c r="AL141" i="3"/>
  <c r="AL145" i="3"/>
  <c r="AL149" i="3"/>
  <c r="AL153" i="3"/>
  <c r="AL157" i="3"/>
  <c r="AL161" i="3"/>
  <c r="AL165" i="3"/>
  <c r="AL169" i="3"/>
  <c r="AL173" i="3"/>
  <c r="AL177" i="3"/>
  <c r="AL181" i="3"/>
  <c r="AL185" i="3"/>
  <c r="AL189" i="3"/>
  <c r="AL193" i="3"/>
  <c r="AL197" i="3"/>
  <c r="AA200" i="3"/>
  <c r="AA198" i="3"/>
  <c r="AA196" i="3"/>
  <c r="AA194" i="3"/>
  <c r="AA192" i="3"/>
  <c r="AA190" i="3"/>
  <c r="AA188" i="3"/>
  <c r="AA186" i="3"/>
  <c r="AA184" i="3"/>
  <c r="AA182" i="3"/>
  <c r="AA180" i="3"/>
  <c r="AA178" i="3"/>
  <c r="AA176" i="3"/>
  <c r="AA174" i="3"/>
  <c r="AA172" i="3"/>
  <c r="AA170" i="3"/>
  <c r="AA168" i="3"/>
  <c r="AA166" i="3"/>
  <c r="AA164" i="3"/>
  <c r="AA162" i="3"/>
  <c r="AA160" i="3"/>
  <c r="AA158" i="3"/>
  <c r="AA156" i="3"/>
  <c r="AA154" i="3"/>
  <c r="AA152" i="3"/>
  <c r="AA150" i="3"/>
  <c r="AA148" i="3"/>
  <c r="AA146" i="3"/>
  <c r="AA144" i="3"/>
  <c r="AA142" i="3"/>
  <c r="AA140" i="3"/>
  <c r="AL198" i="3"/>
  <c r="AL194" i="3"/>
  <c r="AL190" i="3"/>
  <c r="AL186" i="3"/>
  <c r="AL182" i="3"/>
  <c r="AL178" i="3"/>
  <c r="AL174" i="3"/>
  <c r="AL170" i="3"/>
  <c r="AL166" i="3"/>
  <c r="AL162" i="3"/>
  <c r="AL158" i="3"/>
  <c r="AL154" i="3"/>
  <c r="AL150" i="3"/>
  <c r="AL146" i="3"/>
  <c r="AL142" i="3"/>
  <c r="AL199" i="3"/>
  <c r="AL195" i="3"/>
  <c r="AL191" i="3"/>
  <c r="AL187" i="3"/>
  <c r="AL183" i="3"/>
  <c r="AL179" i="3"/>
  <c r="AL175" i="3"/>
  <c r="AL171" i="3"/>
  <c r="AL167" i="3"/>
  <c r="AL163" i="3"/>
  <c r="AL159" i="3"/>
  <c r="AL155" i="3"/>
  <c r="AL151" i="3"/>
  <c r="AL147" i="3"/>
  <c r="AL143" i="3"/>
  <c r="R7" i="2"/>
  <c r="AK10" i="3" s="1"/>
  <c r="AL10" i="3" s="1"/>
  <c r="T7" i="2" s="1"/>
  <c r="R8" i="2"/>
  <c r="I7" i="4" s="1"/>
  <c r="L7" i="4" s="1"/>
  <c r="R9" i="2"/>
  <c r="R10" i="2"/>
  <c r="R11" i="2"/>
  <c r="R12" i="2"/>
  <c r="I11" i="4" s="1"/>
  <c r="L11" i="4" s="1"/>
  <c r="R13" i="2"/>
  <c r="R14" i="2"/>
  <c r="I13" i="4" s="1"/>
  <c r="L13" i="4" s="1"/>
  <c r="R15" i="2"/>
  <c r="R16" i="2"/>
  <c r="R17" i="2"/>
  <c r="R18" i="2"/>
  <c r="I17" i="4" s="1"/>
  <c r="L17" i="4" s="1"/>
  <c r="R19" i="2"/>
  <c r="R20" i="2"/>
  <c r="I19" i="4" s="1"/>
  <c r="L19" i="4" s="1"/>
  <c r="R21" i="2"/>
  <c r="R22" i="2"/>
  <c r="I21" i="4" s="1"/>
  <c r="L21" i="4" s="1"/>
  <c r="R23" i="2"/>
  <c r="R24" i="2"/>
  <c r="R25" i="2"/>
  <c r="R26" i="2"/>
  <c r="I25" i="4" s="1"/>
  <c r="L25" i="4" s="1"/>
  <c r="R27" i="2"/>
  <c r="R28" i="2"/>
  <c r="R29" i="2"/>
  <c r="R30" i="2"/>
  <c r="I29" i="4" s="1"/>
  <c r="L29" i="4" s="1"/>
  <c r="R31" i="2"/>
  <c r="R32" i="2"/>
  <c r="R33" i="2"/>
  <c r="R34" i="2"/>
  <c r="I33" i="4" s="1"/>
  <c r="L33" i="4" s="1"/>
  <c r="R35" i="2"/>
  <c r="R36" i="2"/>
  <c r="R37" i="2"/>
  <c r="R38" i="2"/>
  <c r="I37" i="4" s="1"/>
  <c r="L37" i="4" s="1"/>
  <c r="R39" i="2"/>
  <c r="R40" i="2"/>
  <c r="R41" i="2"/>
  <c r="I41" i="4"/>
  <c r="L41" i="4" s="1"/>
  <c r="R43" i="2"/>
  <c r="R44" i="2"/>
  <c r="R45" i="2"/>
  <c r="R46" i="2"/>
  <c r="I45" i="4" s="1"/>
  <c r="L45" i="4" s="1"/>
  <c r="R47" i="2"/>
  <c r="R48" i="2"/>
  <c r="R49" i="2"/>
  <c r="R50" i="2"/>
  <c r="I49" i="4" s="1"/>
  <c r="L49" i="4" s="1"/>
  <c r="R51" i="2"/>
  <c r="R52" i="2"/>
  <c r="I51" i="4" s="1"/>
  <c r="L51" i="4" s="1"/>
  <c r="R53" i="2"/>
  <c r="R54" i="2"/>
  <c r="R55" i="2"/>
  <c r="R56" i="2"/>
  <c r="R57" i="2"/>
  <c r="R58" i="2"/>
  <c r="I57" i="4" s="1"/>
  <c r="L57" i="4" s="1"/>
  <c r="R59" i="2"/>
  <c r="R60" i="2"/>
  <c r="I59" i="4" s="1"/>
  <c r="L59" i="4" s="1"/>
  <c r="R61" i="2"/>
  <c r="R62" i="2"/>
  <c r="R63" i="2"/>
  <c r="R64" i="2"/>
  <c r="R65" i="2"/>
  <c r="R66" i="2"/>
  <c r="I65" i="4" s="1"/>
  <c r="L65" i="4" s="1"/>
  <c r="R67" i="2"/>
  <c r="R68" i="2"/>
  <c r="I67" i="4" s="1"/>
  <c r="L67" i="4" s="1"/>
  <c r="R69" i="2"/>
  <c r="R70" i="2"/>
  <c r="R71" i="2"/>
  <c r="R72" i="2"/>
  <c r="R73" i="2"/>
  <c r="R74" i="2"/>
  <c r="I73" i="4" s="1"/>
  <c r="L73" i="4" s="1"/>
  <c r="R75" i="2"/>
  <c r="R76" i="2"/>
  <c r="I75" i="4" s="1"/>
  <c r="L75" i="4" s="1"/>
  <c r="R77" i="2"/>
  <c r="R78" i="2"/>
  <c r="R79" i="2"/>
  <c r="R80" i="2"/>
  <c r="R81" i="2"/>
  <c r="R82" i="2"/>
  <c r="I81" i="4" s="1"/>
  <c r="L81" i="4" s="1"/>
  <c r="R83" i="2"/>
  <c r="R84" i="2"/>
  <c r="I83" i="4" s="1"/>
  <c r="L83" i="4" s="1"/>
  <c r="R85" i="2"/>
  <c r="R86" i="2"/>
  <c r="R87" i="2"/>
  <c r="R88" i="2"/>
  <c r="R89" i="2"/>
  <c r="R90" i="2"/>
  <c r="I89" i="4" s="1"/>
  <c r="L89" i="4" s="1"/>
  <c r="R91" i="2"/>
  <c r="R92" i="2"/>
  <c r="R93" i="2"/>
  <c r="R94" i="2"/>
  <c r="AK97" i="3" s="1"/>
  <c r="AL97" i="3" s="1"/>
  <c r="T94" i="2" s="1"/>
  <c r="R95" i="2"/>
  <c r="R96" i="2"/>
  <c r="I95" i="4" s="1"/>
  <c r="L95" i="4" s="1"/>
  <c r="R97" i="2"/>
  <c r="R98" i="2"/>
  <c r="I97" i="4" s="1"/>
  <c r="L97" i="4" s="1"/>
  <c r="R99" i="2"/>
  <c r="R100" i="2"/>
  <c r="I99" i="4" s="1"/>
  <c r="L99" i="4" s="1"/>
  <c r="R101" i="2"/>
  <c r="R102" i="2"/>
  <c r="R103" i="2"/>
  <c r="R104" i="2"/>
  <c r="I103" i="4" s="1"/>
  <c r="L103" i="4" s="1"/>
  <c r="R105" i="2"/>
  <c r="R106" i="2"/>
  <c r="I105" i="4" s="1"/>
  <c r="L105" i="4" s="1"/>
  <c r="R107" i="2"/>
  <c r="R108" i="2"/>
  <c r="I107" i="4" s="1"/>
  <c r="L107" i="4" s="1"/>
  <c r="R109" i="2"/>
  <c r="R110" i="2"/>
  <c r="I109" i="4" s="1"/>
  <c r="L109" i="4" s="1"/>
  <c r="R111" i="2"/>
  <c r="R112" i="2"/>
  <c r="I111" i="4" s="1"/>
  <c r="L111" i="4" s="1"/>
  <c r="R113" i="2"/>
  <c r="R114" i="2"/>
  <c r="I113" i="4" s="1"/>
  <c r="L113" i="4" s="1"/>
  <c r="R115" i="2"/>
  <c r="R116" i="2"/>
  <c r="I115" i="4" s="1"/>
  <c r="L115" i="4" s="1"/>
  <c r="R117" i="2"/>
  <c r="R118" i="2"/>
  <c r="I117" i="4" s="1"/>
  <c r="L117" i="4" s="1"/>
  <c r="R119" i="2"/>
  <c r="R120" i="2"/>
  <c r="I119" i="4" s="1"/>
  <c r="L119" i="4" s="1"/>
  <c r="R121" i="2"/>
  <c r="R122" i="2"/>
  <c r="I121" i="4" s="1"/>
  <c r="L121" i="4" s="1"/>
  <c r="R123" i="2"/>
  <c r="R124" i="2"/>
  <c r="I123" i="4" s="1"/>
  <c r="L123" i="4" s="1"/>
  <c r="R125" i="2"/>
  <c r="R126" i="2"/>
  <c r="R127" i="2"/>
  <c r="R128" i="2"/>
  <c r="I127" i="4" s="1"/>
  <c r="L127" i="4" s="1"/>
  <c r="R129" i="2"/>
  <c r="R130" i="2"/>
  <c r="I129" i="4" s="1"/>
  <c r="L129" i="4" s="1"/>
  <c r="R131" i="2"/>
  <c r="R132" i="2"/>
  <c r="I131" i="4" s="1"/>
  <c r="L131" i="4" s="1"/>
  <c r="R133" i="2"/>
  <c r="R134" i="2"/>
  <c r="I133" i="4" s="1"/>
  <c r="L133" i="4" s="1"/>
  <c r="R135" i="2"/>
  <c r="R136" i="2"/>
  <c r="I135" i="4" s="1"/>
  <c r="L135" i="4" s="1"/>
  <c r="R6" i="2"/>
  <c r="I5" i="4" s="1"/>
  <c r="L5" i="4" s="1"/>
  <c r="I91" i="4"/>
  <c r="L91" i="4" s="1"/>
  <c r="I136" i="4"/>
  <c r="L136" i="4" s="1"/>
  <c r="I137" i="4"/>
  <c r="L137" i="4" s="1"/>
  <c r="I138" i="4"/>
  <c r="L138" i="4" s="1"/>
  <c r="I139" i="4"/>
  <c r="L139" i="4" s="1"/>
  <c r="I140" i="4"/>
  <c r="L140" i="4" s="1"/>
  <c r="I141" i="4"/>
  <c r="L141" i="4" s="1"/>
  <c r="I142" i="4"/>
  <c r="L142" i="4" s="1"/>
  <c r="I143" i="4"/>
  <c r="L143" i="4" s="1"/>
  <c r="I144" i="4"/>
  <c r="L144" i="4" s="1"/>
  <c r="I145" i="4"/>
  <c r="L145" i="4" s="1"/>
  <c r="I146" i="4"/>
  <c r="L146" i="4" s="1"/>
  <c r="I147" i="4"/>
  <c r="L147" i="4" s="1"/>
  <c r="I148" i="4"/>
  <c r="L148" i="4" s="1"/>
  <c r="I149" i="4"/>
  <c r="L149" i="4" s="1"/>
  <c r="I150" i="4"/>
  <c r="L150" i="4" s="1"/>
  <c r="I151" i="4"/>
  <c r="L151" i="4" s="1"/>
  <c r="I152" i="4"/>
  <c r="L152" i="4" s="1"/>
  <c r="I153" i="4"/>
  <c r="L153" i="4" s="1"/>
  <c r="I154" i="4"/>
  <c r="L154" i="4" s="1"/>
  <c r="C6" i="1"/>
  <c r="G6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00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51" i="1"/>
  <c r="I92" i="4" l="1"/>
  <c r="L92" i="4" s="1"/>
  <c r="AK96" i="3"/>
  <c r="AL96" i="3" s="1"/>
  <c r="Z96" i="3"/>
  <c r="AA96" i="3" s="1"/>
  <c r="I90" i="4"/>
  <c r="L90" i="4" s="1"/>
  <c r="AK94" i="3"/>
  <c r="AL94" i="3" s="1"/>
  <c r="Z94" i="3"/>
  <c r="AA94" i="3" s="1"/>
  <c r="AK95" i="3"/>
  <c r="AL95" i="3" s="1"/>
  <c r="Z95" i="3"/>
  <c r="AA95" i="3" s="1"/>
  <c r="I46" i="4"/>
  <c r="L46" i="4" s="1"/>
  <c r="AK50" i="3"/>
  <c r="AL50" i="3" s="1"/>
  <c r="Z50" i="3"/>
  <c r="AA50" i="3" s="1"/>
  <c r="Z49" i="3"/>
  <c r="AA49" i="3" s="1"/>
  <c r="AK49" i="3"/>
  <c r="AL49" i="3" s="1"/>
  <c r="F6" i="1"/>
  <c r="AK9" i="3"/>
  <c r="AL9" i="3" s="1"/>
  <c r="T6" i="2" s="1"/>
  <c r="Z9" i="3"/>
  <c r="AA9" i="3" s="1"/>
  <c r="S6" i="2" s="1"/>
  <c r="I130" i="4"/>
  <c r="L130" i="4" s="1"/>
  <c r="AK134" i="3"/>
  <c r="AL134" i="3" s="1"/>
  <c r="T131" i="2" s="1"/>
  <c r="Z134" i="3"/>
  <c r="AA134" i="3" s="1"/>
  <c r="S131" i="2" s="1"/>
  <c r="I114" i="4"/>
  <c r="L114" i="4" s="1"/>
  <c r="AK118" i="3"/>
  <c r="AL118" i="3" s="1"/>
  <c r="T115" i="2" s="1"/>
  <c r="Z118" i="3"/>
  <c r="AA118" i="3" s="1"/>
  <c r="S115" i="2" s="1"/>
  <c r="I98" i="4"/>
  <c r="L98" i="4" s="1"/>
  <c r="AK102" i="3"/>
  <c r="AL102" i="3" s="1"/>
  <c r="T99" i="2" s="1"/>
  <c r="Z102" i="3"/>
  <c r="AA102" i="3" s="1"/>
  <c r="S99" i="2" s="1"/>
  <c r="Z129" i="3"/>
  <c r="AA129" i="3" s="1"/>
  <c r="S126" i="2" s="1"/>
  <c r="AK129" i="3"/>
  <c r="AL129" i="3" s="1"/>
  <c r="T126" i="2" s="1"/>
  <c r="Z117" i="3"/>
  <c r="AA117" i="3" s="1"/>
  <c r="S114" i="2" s="1"/>
  <c r="AK117" i="3"/>
  <c r="AL117" i="3" s="1"/>
  <c r="T114" i="2" s="1"/>
  <c r="Z105" i="3"/>
  <c r="AA105" i="3" s="1"/>
  <c r="S102" i="2" s="1"/>
  <c r="AK105" i="3"/>
  <c r="AL105" i="3" s="1"/>
  <c r="T102" i="2" s="1"/>
  <c r="I125" i="4"/>
  <c r="L125" i="4" s="1"/>
  <c r="I101" i="4"/>
  <c r="L101" i="4" s="1"/>
  <c r="AK139" i="3"/>
  <c r="AL139" i="3" s="1"/>
  <c r="T136" i="2" s="1"/>
  <c r="Z139" i="3"/>
  <c r="AA139" i="3" s="1"/>
  <c r="S136" i="2" s="1"/>
  <c r="AK135" i="3"/>
  <c r="AL135" i="3" s="1"/>
  <c r="T132" i="2" s="1"/>
  <c r="Z135" i="3"/>
  <c r="AA135" i="3" s="1"/>
  <c r="S132" i="2" s="1"/>
  <c r="AK131" i="3"/>
  <c r="AL131" i="3" s="1"/>
  <c r="T128" i="2" s="1"/>
  <c r="Z131" i="3"/>
  <c r="AA131" i="3" s="1"/>
  <c r="S128" i="2" s="1"/>
  <c r="AK127" i="3"/>
  <c r="AL127" i="3" s="1"/>
  <c r="T124" i="2" s="1"/>
  <c r="Z127" i="3"/>
  <c r="AA127" i="3" s="1"/>
  <c r="S124" i="2" s="1"/>
  <c r="AK123" i="3"/>
  <c r="AL123" i="3" s="1"/>
  <c r="T120" i="2" s="1"/>
  <c r="Z123" i="3"/>
  <c r="AA123" i="3" s="1"/>
  <c r="S120" i="2" s="1"/>
  <c r="AK119" i="3"/>
  <c r="AL119" i="3" s="1"/>
  <c r="T116" i="2" s="1"/>
  <c r="Z119" i="3"/>
  <c r="AA119" i="3" s="1"/>
  <c r="S116" i="2" s="1"/>
  <c r="AK115" i="3"/>
  <c r="AL115" i="3" s="1"/>
  <c r="T112" i="2" s="1"/>
  <c r="Z115" i="3"/>
  <c r="AA115" i="3" s="1"/>
  <c r="S112" i="2" s="1"/>
  <c r="AK111" i="3"/>
  <c r="AL111" i="3" s="1"/>
  <c r="T108" i="2" s="1"/>
  <c r="Z111" i="3"/>
  <c r="AA111" i="3" s="1"/>
  <c r="S108" i="2" s="1"/>
  <c r="AK107" i="3"/>
  <c r="AL107" i="3" s="1"/>
  <c r="T104" i="2" s="1"/>
  <c r="Z107" i="3"/>
  <c r="AA107" i="3" s="1"/>
  <c r="S104" i="2" s="1"/>
  <c r="AK103" i="3"/>
  <c r="AL103" i="3" s="1"/>
  <c r="T100" i="2" s="1"/>
  <c r="Z103" i="3"/>
  <c r="AA103" i="3" s="1"/>
  <c r="S100" i="2" s="1"/>
  <c r="AK99" i="3"/>
  <c r="AL99" i="3" s="1"/>
  <c r="T96" i="2" s="1"/>
  <c r="Z99" i="3"/>
  <c r="AA99" i="3" s="1"/>
  <c r="S96" i="2" s="1"/>
  <c r="I122" i="4"/>
  <c r="L122" i="4" s="1"/>
  <c r="AK126" i="3"/>
  <c r="AL126" i="3" s="1"/>
  <c r="T123" i="2" s="1"/>
  <c r="Z126" i="3"/>
  <c r="AA126" i="3" s="1"/>
  <c r="S123" i="2" s="1"/>
  <c r="I110" i="4"/>
  <c r="L110" i="4" s="1"/>
  <c r="AK114" i="3"/>
  <c r="AL114" i="3" s="1"/>
  <c r="T111" i="2" s="1"/>
  <c r="Z114" i="3"/>
  <c r="AA114" i="3" s="1"/>
  <c r="S111" i="2" s="1"/>
  <c r="I94" i="4"/>
  <c r="L94" i="4" s="1"/>
  <c r="AK98" i="3"/>
  <c r="AL98" i="3" s="1"/>
  <c r="T95" i="2" s="1"/>
  <c r="Z98" i="3"/>
  <c r="AA98" i="3" s="1"/>
  <c r="S95" i="2" s="1"/>
  <c r="Z137" i="3"/>
  <c r="AA137" i="3" s="1"/>
  <c r="S134" i="2" s="1"/>
  <c r="AK137" i="3"/>
  <c r="AL137" i="3" s="1"/>
  <c r="T134" i="2" s="1"/>
  <c r="I134" i="4"/>
  <c r="L134" i="4" s="1"/>
  <c r="AK138" i="3"/>
  <c r="AL138" i="3" s="1"/>
  <c r="T135" i="2" s="1"/>
  <c r="Z138" i="3"/>
  <c r="AA138" i="3" s="1"/>
  <c r="S135" i="2" s="1"/>
  <c r="I126" i="4"/>
  <c r="L126" i="4" s="1"/>
  <c r="AK130" i="3"/>
  <c r="AL130" i="3" s="1"/>
  <c r="T127" i="2" s="1"/>
  <c r="Z130" i="3"/>
  <c r="AA130" i="3" s="1"/>
  <c r="S127" i="2" s="1"/>
  <c r="I118" i="4"/>
  <c r="L118" i="4" s="1"/>
  <c r="AK122" i="3"/>
  <c r="AL122" i="3" s="1"/>
  <c r="T119" i="2" s="1"/>
  <c r="Z122" i="3"/>
  <c r="AA122" i="3" s="1"/>
  <c r="S119" i="2" s="1"/>
  <c r="I106" i="4"/>
  <c r="L106" i="4" s="1"/>
  <c r="AK110" i="3"/>
  <c r="AL110" i="3" s="1"/>
  <c r="T107" i="2" s="1"/>
  <c r="Z110" i="3"/>
  <c r="AA110" i="3" s="1"/>
  <c r="S107" i="2" s="1"/>
  <c r="I102" i="4"/>
  <c r="L102" i="4" s="1"/>
  <c r="AK106" i="3"/>
  <c r="AL106" i="3" s="1"/>
  <c r="T103" i="2" s="1"/>
  <c r="Z106" i="3"/>
  <c r="AA106" i="3" s="1"/>
  <c r="S103" i="2" s="1"/>
  <c r="Z133" i="3"/>
  <c r="AA133" i="3" s="1"/>
  <c r="S130" i="2" s="1"/>
  <c r="AK133" i="3"/>
  <c r="AL133" i="3" s="1"/>
  <c r="T130" i="2" s="1"/>
  <c r="Z125" i="3"/>
  <c r="AA125" i="3" s="1"/>
  <c r="S122" i="2" s="1"/>
  <c r="AK125" i="3"/>
  <c r="AL125" i="3" s="1"/>
  <c r="T122" i="2" s="1"/>
  <c r="Z121" i="3"/>
  <c r="AA121" i="3" s="1"/>
  <c r="S118" i="2" s="1"/>
  <c r="AK121" i="3"/>
  <c r="AL121" i="3" s="1"/>
  <c r="T118" i="2" s="1"/>
  <c r="Z113" i="3"/>
  <c r="AA113" i="3" s="1"/>
  <c r="S110" i="2" s="1"/>
  <c r="AK113" i="3"/>
  <c r="AL113" i="3" s="1"/>
  <c r="T110" i="2" s="1"/>
  <c r="Z109" i="3"/>
  <c r="AA109" i="3" s="1"/>
  <c r="S106" i="2" s="1"/>
  <c r="AK109" i="3"/>
  <c r="AL109" i="3" s="1"/>
  <c r="T106" i="2" s="1"/>
  <c r="Z101" i="3"/>
  <c r="AA101" i="3" s="1"/>
  <c r="S98" i="2" s="1"/>
  <c r="AK101" i="3"/>
  <c r="AL101" i="3" s="1"/>
  <c r="T98" i="2" s="1"/>
  <c r="I132" i="4"/>
  <c r="L132" i="4" s="1"/>
  <c r="Z136" i="3"/>
  <c r="AA136" i="3" s="1"/>
  <c r="S133" i="2" s="1"/>
  <c r="AK136" i="3"/>
  <c r="AL136" i="3" s="1"/>
  <c r="T133" i="2" s="1"/>
  <c r="I128" i="4"/>
  <c r="L128" i="4" s="1"/>
  <c r="Z132" i="3"/>
  <c r="AA132" i="3" s="1"/>
  <c r="S129" i="2" s="1"/>
  <c r="AK132" i="3"/>
  <c r="AL132" i="3" s="1"/>
  <c r="T129" i="2" s="1"/>
  <c r="I124" i="4"/>
  <c r="L124" i="4" s="1"/>
  <c r="Z128" i="3"/>
  <c r="AA128" i="3" s="1"/>
  <c r="S125" i="2" s="1"/>
  <c r="AK128" i="3"/>
  <c r="AL128" i="3" s="1"/>
  <c r="T125" i="2" s="1"/>
  <c r="I120" i="4"/>
  <c r="L120" i="4" s="1"/>
  <c r="Z124" i="3"/>
  <c r="AA124" i="3" s="1"/>
  <c r="S121" i="2" s="1"/>
  <c r="AK124" i="3"/>
  <c r="AL124" i="3" s="1"/>
  <c r="T121" i="2" s="1"/>
  <c r="I116" i="4"/>
  <c r="L116" i="4" s="1"/>
  <c r="Z120" i="3"/>
  <c r="AA120" i="3" s="1"/>
  <c r="S117" i="2" s="1"/>
  <c r="AK120" i="3"/>
  <c r="AL120" i="3" s="1"/>
  <c r="T117" i="2" s="1"/>
  <c r="I112" i="4"/>
  <c r="L112" i="4" s="1"/>
  <c r="Z116" i="3"/>
  <c r="AA116" i="3" s="1"/>
  <c r="S113" i="2" s="1"/>
  <c r="AK116" i="3"/>
  <c r="AL116" i="3" s="1"/>
  <c r="T113" i="2" s="1"/>
  <c r="I108" i="4"/>
  <c r="L108" i="4" s="1"/>
  <c r="Z112" i="3"/>
  <c r="AA112" i="3" s="1"/>
  <c r="S109" i="2" s="1"/>
  <c r="AK112" i="3"/>
  <c r="AL112" i="3" s="1"/>
  <c r="T109" i="2" s="1"/>
  <c r="I104" i="4"/>
  <c r="L104" i="4" s="1"/>
  <c r="Z108" i="3"/>
  <c r="AA108" i="3" s="1"/>
  <c r="S105" i="2" s="1"/>
  <c r="AK108" i="3"/>
  <c r="AL108" i="3" s="1"/>
  <c r="T105" i="2" s="1"/>
  <c r="I100" i="4"/>
  <c r="L100" i="4" s="1"/>
  <c r="Z104" i="3"/>
  <c r="AA104" i="3" s="1"/>
  <c r="S101" i="2" s="1"/>
  <c r="AK104" i="3"/>
  <c r="AL104" i="3" s="1"/>
  <c r="T101" i="2" s="1"/>
  <c r="I96" i="4"/>
  <c r="L96" i="4" s="1"/>
  <c r="Z100" i="3"/>
  <c r="AA100" i="3" s="1"/>
  <c r="S97" i="2" s="1"/>
  <c r="AK100" i="3"/>
  <c r="AL100" i="3" s="1"/>
  <c r="T97" i="2" s="1"/>
  <c r="AK87" i="3"/>
  <c r="AL87" i="3" s="1"/>
  <c r="T84" i="2" s="1"/>
  <c r="Z87" i="3"/>
  <c r="AA87" i="3" s="1"/>
  <c r="S84" i="2" s="1"/>
  <c r="AK79" i="3"/>
  <c r="AL79" i="3" s="1"/>
  <c r="T76" i="2" s="1"/>
  <c r="Z79" i="3"/>
  <c r="AA79" i="3" s="1"/>
  <c r="S76" i="2" s="1"/>
  <c r="AK71" i="3"/>
  <c r="AL71" i="3" s="1"/>
  <c r="T68" i="2" s="1"/>
  <c r="Z71" i="3"/>
  <c r="AA71" i="3" s="1"/>
  <c r="S68" i="2" s="1"/>
  <c r="AK55" i="3"/>
  <c r="AL55" i="3" s="1"/>
  <c r="T52" i="2" s="1"/>
  <c r="Z55" i="3"/>
  <c r="AA55" i="3" s="1"/>
  <c r="S52" i="2" s="1"/>
  <c r="I86" i="4"/>
  <c r="L86" i="4" s="1"/>
  <c r="Z90" i="3"/>
  <c r="AA90" i="3" s="1"/>
  <c r="S87" i="2" s="1"/>
  <c r="AK90" i="3"/>
  <c r="AL90" i="3" s="1"/>
  <c r="T87" i="2" s="1"/>
  <c r="I82" i="4"/>
  <c r="L82" i="4" s="1"/>
  <c r="Z86" i="3"/>
  <c r="AA86" i="3" s="1"/>
  <c r="S83" i="2" s="1"/>
  <c r="AK86" i="3"/>
  <c r="AL86" i="3" s="1"/>
  <c r="T83" i="2" s="1"/>
  <c r="I78" i="4"/>
  <c r="L78" i="4" s="1"/>
  <c r="Z82" i="3"/>
  <c r="AA82" i="3" s="1"/>
  <c r="S79" i="2" s="1"/>
  <c r="AK82" i="3"/>
  <c r="AL82" i="3" s="1"/>
  <c r="T79" i="2" s="1"/>
  <c r="I74" i="4"/>
  <c r="L74" i="4" s="1"/>
  <c r="Z78" i="3"/>
  <c r="AA78" i="3" s="1"/>
  <c r="S75" i="2" s="1"/>
  <c r="AK78" i="3"/>
  <c r="AL78" i="3" s="1"/>
  <c r="T75" i="2" s="1"/>
  <c r="I70" i="4"/>
  <c r="L70" i="4" s="1"/>
  <c r="Z74" i="3"/>
  <c r="AA74" i="3" s="1"/>
  <c r="S71" i="2" s="1"/>
  <c r="AK74" i="3"/>
  <c r="AL74" i="3" s="1"/>
  <c r="T71" i="2" s="1"/>
  <c r="I66" i="4"/>
  <c r="L66" i="4" s="1"/>
  <c r="Z70" i="3"/>
  <c r="AA70" i="3" s="1"/>
  <c r="S67" i="2" s="1"/>
  <c r="AK70" i="3"/>
  <c r="AL70" i="3" s="1"/>
  <c r="T67" i="2" s="1"/>
  <c r="I62" i="4"/>
  <c r="L62" i="4" s="1"/>
  <c r="Z66" i="3"/>
  <c r="AA66" i="3" s="1"/>
  <c r="S63" i="2" s="1"/>
  <c r="AK66" i="3"/>
  <c r="AL66" i="3" s="1"/>
  <c r="T63" i="2" s="1"/>
  <c r="I58" i="4"/>
  <c r="L58" i="4" s="1"/>
  <c r="Z62" i="3"/>
  <c r="AA62" i="3" s="1"/>
  <c r="S59" i="2" s="1"/>
  <c r="AK62" i="3"/>
  <c r="AL62" i="3" s="1"/>
  <c r="T59" i="2" s="1"/>
  <c r="I54" i="4"/>
  <c r="L54" i="4" s="1"/>
  <c r="Z58" i="3"/>
  <c r="AA58" i="3" s="1"/>
  <c r="S55" i="2" s="1"/>
  <c r="AK58" i="3"/>
  <c r="AL58" i="3" s="1"/>
  <c r="T55" i="2" s="1"/>
  <c r="I50" i="4"/>
  <c r="L50" i="4" s="1"/>
  <c r="Z54" i="3"/>
  <c r="AA54" i="3" s="1"/>
  <c r="S51" i="2" s="1"/>
  <c r="AK54" i="3"/>
  <c r="AL54" i="3" s="1"/>
  <c r="T51" i="2" s="1"/>
  <c r="AK91" i="3"/>
  <c r="AL91" i="3" s="1"/>
  <c r="T88" i="2" s="1"/>
  <c r="Z91" i="3"/>
  <c r="AA91" i="3" s="1"/>
  <c r="S88" i="2" s="1"/>
  <c r="AK83" i="3"/>
  <c r="AL83" i="3" s="1"/>
  <c r="T80" i="2" s="1"/>
  <c r="Z83" i="3"/>
  <c r="AA83" i="3" s="1"/>
  <c r="S80" i="2" s="1"/>
  <c r="AK75" i="3"/>
  <c r="AL75" i="3" s="1"/>
  <c r="T72" i="2" s="1"/>
  <c r="Z75" i="3"/>
  <c r="AA75" i="3" s="1"/>
  <c r="S72" i="2" s="1"/>
  <c r="AK67" i="3"/>
  <c r="AL67" i="3" s="1"/>
  <c r="T64" i="2" s="1"/>
  <c r="Z67" i="3"/>
  <c r="AA67" i="3" s="1"/>
  <c r="S64" i="2" s="1"/>
  <c r="AK63" i="3"/>
  <c r="AL63" i="3" s="1"/>
  <c r="T60" i="2" s="1"/>
  <c r="Z63" i="3"/>
  <c r="AA63" i="3" s="1"/>
  <c r="S60" i="2" s="1"/>
  <c r="AK59" i="3"/>
  <c r="AL59" i="3" s="1"/>
  <c r="T56" i="2" s="1"/>
  <c r="Z59" i="3"/>
  <c r="AA59" i="3" s="1"/>
  <c r="S56" i="2" s="1"/>
  <c r="I47" i="4"/>
  <c r="L47" i="4" s="1"/>
  <c r="AK51" i="3"/>
  <c r="AL51" i="3" s="1"/>
  <c r="T48" i="2" s="1"/>
  <c r="Z51" i="3"/>
  <c r="AA51" i="3" s="1"/>
  <c r="S48" i="2" s="1"/>
  <c r="I87" i="4"/>
  <c r="L87" i="4" s="1"/>
  <c r="I79" i="4"/>
  <c r="L79" i="4" s="1"/>
  <c r="I71" i="4"/>
  <c r="L71" i="4" s="1"/>
  <c r="I63" i="4"/>
  <c r="L63" i="4" s="1"/>
  <c r="I55" i="4"/>
  <c r="L55" i="4" s="1"/>
  <c r="AK93" i="3"/>
  <c r="AL93" i="3" s="1"/>
  <c r="T90" i="2" s="1"/>
  <c r="Z93" i="3"/>
  <c r="AA93" i="3" s="1"/>
  <c r="S90" i="2" s="1"/>
  <c r="AK89" i="3"/>
  <c r="AL89" i="3" s="1"/>
  <c r="T86" i="2" s="1"/>
  <c r="Z89" i="3"/>
  <c r="AA89" i="3" s="1"/>
  <c r="S86" i="2" s="1"/>
  <c r="AK85" i="3"/>
  <c r="AL85" i="3" s="1"/>
  <c r="T82" i="2" s="1"/>
  <c r="Z85" i="3"/>
  <c r="AA85" i="3" s="1"/>
  <c r="S82" i="2" s="1"/>
  <c r="AK81" i="3"/>
  <c r="AL81" i="3" s="1"/>
  <c r="T78" i="2" s="1"/>
  <c r="Z81" i="3"/>
  <c r="AA81" i="3" s="1"/>
  <c r="S78" i="2" s="1"/>
  <c r="AK77" i="3"/>
  <c r="AL77" i="3" s="1"/>
  <c r="T74" i="2" s="1"/>
  <c r="Z77" i="3"/>
  <c r="AA77" i="3" s="1"/>
  <c r="S74" i="2" s="1"/>
  <c r="AK73" i="3"/>
  <c r="AL73" i="3" s="1"/>
  <c r="T70" i="2" s="1"/>
  <c r="Z73" i="3"/>
  <c r="AA73" i="3" s="1"/>
  <c r="S70" i="2" s="1"/>
  <c r="AK69" i="3"/>
  <c r="AL69" i="3" s="1"/>
  <c r="T66" i="2" s="1"/>
  <c r="Z69" i="3"/>
  <c r="AA69" i="3" s="1"/>
  <c r="S66" i="2" s="1"/>
  <c r="AK65" i="3"/>
  <c r="AL65" i="3" s="1"/>
  <c r="T62" i="2" s="1"/>
  <c r="Z65" i="3"/>
  <c r="AA65" i="3" s="1"/>
  <c r="S62" i="2" s="1"/>
  <c r="AK61" i="3"/>
  <c r="AL61" i="3" s="1"/>
  <c r="T58" i="2" s="1"/>
  <c r="Z61" i="3"/>
  <c r="AA61" i="3" s="1"/>
  <c r="S58" i="2" s="1"/>
  <c r="AK57" i="3"/>
  <c r="AL57" i="3" s="1"/>
  <c r="T54" i="2" s="1"/>
  <c r="Z57" i="3"/>
  <c r="AA57" i="3" s="1"/>
  <c r="S54" i="2" s="1"/>
  <c r="AK53" i="3"/>
  <c r="AL53" i="3" s="1"/>
  <c r="T50" i="2" s="1"/>
  <c r="Z53" i="3"/>
  <c r="AA53" i="3" s="1"/>
  <c r="S50" i="2" s="1"/>
  <c r="I85" i="4"/>
  <c r="L85" i="4" s="1"/>
  <c r="I77" i="4"/>
  <c r="L77" i="4" s="1"/>
  <c r="I69" i="4"/>
  <c r="L69" i="4" s="1"/>
  <c r="I61" i="4"/>
  <c r="L61" i="4" s="1"/>
  <c r="I53" i="4"/>
  <c r="L53" i="4" s="1"/>
  <c r="I88" i="4"/>
  <c r="L88" i="4" s="1"/>
  <c r="Z92" i="3"/>
  <c r="AA92" i="3" s="1"/>
  <c r="S89" i="2" s="1"/>
  <c r="AK92" i="3"/>
  <c r="AL92" i="3" s="1"/>
  <c r="T89" i="2" s="1"/>
  <c r="I84" i="4"/>
  <c r="L84" i="4" s="1"/>
  <c r="Z88" i="3"/>
  <c r="AA88" i="3" s="1"/>
  <c r="S85" i="2" s="1"/>
  <c r="AK88" i="3"/>
  <c r="AL88" i="3" s="1"/>
  <c r="T85" i="2" s="1"/>
  <c r="I80" i="4"/>
  <c r="L80" i="4" s="1"/>
  <c r="Z84" i="3"/>
  <c r="AA84" i="3" s="1"/>
  <c r="S81" i="2" s="1"/>
  <c r="AK84" i="3"/>
  <c r="AL84" i="3" s="1"/>
  <c r="T81" i="2" s="1"/>
  <c r="I76" i="4"/>
  <c r="L76" i="4" s="1"/>
  <c r="Z80" i="3"/>
  <c r="AA80" i="3" s="1"/>
  <c r="S77" i="2" s="1"/>
  <c r="AK80" i="3"/>
  <c r="AL80" i="3" s="1"/>
  <c r="T77" i="2" s="1"/>
  <c r="I72" i="4"/>
  <c r="L72" i="4" s="1"/>
  <c r="Z76" i="3"/>
  <c r="AA76" i="3" s="1"/>
  <c r="S73" i="2" s="1"/>
  <c r="AK76" i="3"/>
  <c r="AL76" i="3" s="1"/>
  <c r="T73" i="2" s="1"/>
  <c r="I68" i="4"/>
  <c r="L68" i="4" s="1"/>
  <c r="Z72" i="3"/>
  <c r="AA72" i="3" s="1"/>
  <c r="S69" i="2" s="1"/>
  <c r="AK72" i="3"/>
  <c r="AL72" i="3" s="1"/>
  <c r="T69" i="2" s="1"/>
  <c r="I64" i="4"/>
  <c r="L64" i="4" s="1"/>
  <c r="Z68" i="3"/>
  <c r="AA68" i="3" s="1"/>
  <c r="S65" i="2" s="1"/>
  <c r="AK68" i="3"/>
  <c r="AL68" i="3" s="1"/>
  <c r="T65" i="2" s="1"/>
  <c r="I60" i="4"/>
  <c r="L60" i="4" s="1"/>
  <c r="Z64" i="3"/>
  <c r="AA64" i="3" s="1"/>
  <c r="S61" i="2" s="1"/>
  <c r="AK64" i="3"/>
  <c r="AL64" i="3" s="1"/>
  <c r="T61" i="2" s="1"/>
  <c r="I56" i="4"/>
  <c r="L56" i="4" s="1"/>
  <c r="Z60" i="3"/>
  <c r="AA60" i="3" s="1"/>
  <c r="S57" i="2" s="1"/>
  <c r="AK60" i="3"/>
  <c r="AL60" i="3" s="1"/>
  <c r="T57" i="2" s="1"/>
  <c r="I52" i="4"/>
  <c r="L52" i="4" s="1"/>
  <c r="Z56" i="3"/>
  <c r="AA56" i="3" s="1"/>
  <c r="S53" i="2" s="1"/>
  <c r="AK56" i="3"/>
  <c r="AL56" i="3" s="1"/>
  <c r="T53" i="2" s="1"/>
  <c r="I48" i="4"/>
  <c r="L48" i="4" s="1"/>
  <c r="Z52" i="3"/>
  <c r="AA52" i="3" s="1"/>
  <c r="S49" i="2" s="1"/>
  <c r="AK52" i="3"/>
  <c r="AL52" i="3" s="1"/>
  <c r="T49" i="2" s="1"/>
  <c r="AK43" i="3"/>
  <c r="AL43" i="3" s="1"/>
  <c r="T40" i="2" s="1"/>
  <c r="Z43" i="3"/>
  <c r="AA43" i="3" s="1"/>
  <c r="S40" i="2" s="1"/>
  <c r="AK31" i="3"/>
  <c r="AL31" i="3" s="1"/>
  <c r="T28" i="2" s="1"/>
  <c r="Z31" i="3"/>
  <c r="AA31" i="3" s="1"/>
  <c r="S28" i="2" s="1"/>
  <c r="I38" i="4"/>
  <c r="L38" i="4" s="1"/>
  <c r="Z42" i="3"/>
  <c r="AA42" i="3" s="1"/>
  <c r="S39" i="2" s="1"/>
  <c r="AK42" i="3"/>
  <c r="AL42" i="3" s="1"/>
  <c r="T39" i="2" s="1"/>
  <c r="I26" i="4"/>
  <c r="L26" i="4" s="1"/>
  <c r="Z30" i="3"/>
  <c r="AA30" i="3" s="1"/>
  <c r="S27" i="2" s="1"/>
  <c r="AK30" i="3"/>
  <c r="AL30" i="3" s="1"/>
  <c r="T27" i="2" s="1"/>
  <c r="I10" i="4"/>
  <c r="L10" i="4" s="1"/>
  <c r="AK14" i="3"/>
  <c r="AL14" i="3" s="1"/>
  <c r="T11" i="2" s="1"/>
  <c r="Z14" i="3"/>
  <c r="AA14" i="3" s="1"/>
  <c r="S11" i="2" s="1"/>
  <c r="Z45" i="3"/>
  <c r="AA45" i="3" s="1"/>
  <c r="S42" i="2" s="1"/>
  <c r="AK45" i="3"/>
  <c r="AL45" i="3" s="1"/>
  <c r="T42" i="2" s="1"/>
  <c r="AK41" i="3"/>
  <c r="AL41" i="3" s="1"/>
  <c r="T38" i="2" s="1"/>
  <c r="Z41" i="3"/>
  <c r="AA41" i="3" s="1"/>
  <c r="S38" i="2" s="1"/>
  <c r="AK37" i="3"/>
  <c r="AL37" i="3" s="1"/>
  <c r="T34" i="2" s="1"/>
  <c r="Z37" i="3"/>
  <c r="AA37" i="3" s="1"/>
  <c r="S34" i="2" s="1"/>
  <c r="AK33" i="3"/>
  <c r="AL33" i="3" s="1"/>
  <c r="T30" i="2" s="1"/>
  <c r="Z33" i="3"/>
  <c r="AA33" i="3" s="1"/>
  <c r="S30" i="2" s="1"/>
  <c r="AK29" i="3"/>
  <c r="AL29" i="3" s="1"/>
  <c r="T26" i="2" s="1"/>
  <c r="Z29" i="3"/>
  <c r="AA29" i="3" s="1"/>
  <c r="S26" i="2" s="1"/>
  <c r="I9" i="4"/>
  <c r="L9" i="4" s="1"/>
  <c r="AK13" i="3"/>
  <c r="AL13" i="3" s="1"/>
  <c r="T10" i="2" s="1"/>
  <c r="Z13" i="3"/>
  <c r="AA13" i="3" s="1"/>
  <c r="S10" i="2" s="1"/>
  <c r="AK47" i="3"/>
  <c r="AL47" i="3" s="1"/>
  <c r="T44" i="2" s="1"/>
  <c r="Z47" i="3"/>
  <c r="AA47" i="3" s="1"/>
  <c r="S44" i="2" s="1"/>
  <c r="AK39" i="3"/>
  <c r="AL39" i="3" s="1"/>
  <c r="T36" i="2" s="1"/>
  <c r="Z39" i="3"/>
  <c r="AA39" i="3" s="1"/>
  <c r="S36" i="2" s="1"/>
  <c r="AK35" i="3"/>
  <c r="AL35" i="3" s="1"/>
  <c r="T32" i="2" s="1"/>
  <c r="Z35" i="3"/>
  <c r="AA35" i="3" s="1"/>
  <c r="S32" i="2" s="1"/>
  <c r="Z11" i="3"/>
  <c r="AA11" i="3" s="1"/>
  <c r="S8" i="2" s="1"/>
  <c r="AK11" i="3"/>
  <c r="AL11" i="3" s="1"/>
  <c r="T8" i="2" s="1"/>
  <c r="I43" i="4"/>
  <c r="L43" i="4" s="1"/>
  <c r="I35" i="4"/>
  <c r="L35" i="4" s="1"/>
  <c r="I27" i="4"/>
  <c r="L27" i="4" s="1"/>
  <c r="I42" i="4"/>
  <c r="L42" i="4" s="1"/>
  <c r="Z46" i="3"/>
  <c r="AA46" i="3" s="1"/>
  <c r="S43" i="2" s="1"/>
  <c r="AK46" i="3"/>
  <c r="AL46" i="3" s="1"/>
  <c r="T43" i="2" s="1"/>
  <c r="I34" i="4"/>
  <c r="L34" i="4" s="1"/>
  <c r="Z38" i="3"/>
  <c r="AA38" i="3" s="1"/>
  <c r="S35" i="2" s="1"/>
  <c r="AK38" i="3"/>
  <c r="AL38" i="3" s="1"/>
  <c r="T35" i="2" s="1"/>
  <c r="I30" i="4"/>
  <c r="L30" i="4" s="1"/>
  <c r="Z34" i="3"/>
  <c r="AA34" i="3" s="1"/>
  <c r="S31" i="2" s="1"/>
  <c r="AK34" i="3"/>
  <c r="AL34" i="3" s="1"/>
  <c r="T31" i="2" s="1"/>
  <c r="I39" i="4"/>
  <c r="L39" i="4" s="1"/>
  <c r="I31" i="4"/>
  <c r="L31" i="4" s="1"/>
  <c r="I44" i="4"/>
  <c r="L44" i="4" s="1"/>
  <c r="Z48" i="3"/>
  <c r="AA48" i="3" s="1"/>
  <c r="S45" i="2" s="1"/>
  <c r="AK48" i="3"/>
  <c r="AL48" i="3" s="1"/>
  <c r="T45" i="2" s="1"/>
  <c r="I40" i="4"/>
  <c r="L40" i="4" s="1"/>
  <c r="Z44" i="3"/>
  <c r="AA44" i="3" s="1"/>
  <c r="S41" i="2" s="1"/>
  <c r="AK44" i="3"/>
  <c r="AL44" i="3" s="1"/>
  <c r="T41" i="2" s="1"/>
  <c r="I36" i="4"/>
  <c r="L36" i="4" s="1"/>
  <c r="Z40" i="3"/>
  <c r="AA40" i="3" s="1"/>
  <c r="S37" i="2" s="1"/>
  <c r="AK40" i="3"/>
  <c r="AL40" i="3" s="1"/>
  <c r="T37" i="2" s="1"/>
  <c r="I32" i="4"/>
  <c r="L32" i="4" s="1"/>
  <c r="Z36" i="3"/>
  <c r="AA36" i="3" s="1"/>
  <c r="S33" i="2" s="1"/>
  <c r="AK36" i="3"/>
  <c r="AL36" i="3" s="1"/>
  <c r="T33" i="2" s="1"/>
  <c r="I28" i="4"/>
  <c r="L28" i="4" s="1"/>
  <c r="Z32" i="3"/>
  <c r="AA32" i="3" s="1"/>
  <c r="S29" i="2" s="1"/>
  <c r="AK32" i="3"/>
  <c r="AL32" i="3" s="1"/>
  <c r="T29" i="2" s="1"/>
  <c r="I8" i="4"/>
  <c r="L8" i="4" s="1"/>
  <c r="Z12" i="3"/>
  <c r="AA12" i="3" s="1"/>
  <c r="S9" i="2" s="1"/>
  <c r="AK12" i="3"/>
  <c r="AL12" i="3" s="1"/>
  <c r="T9" i="2" s="1"/>
  <c r="I24" i="4"/>
  <c r="L24" i="4" s="1"/>
  <c r="Z28" i="3"/>
  <c r="AA28" i="3" s="1"/>
  <c r="S25" i="2" s="1"/>
  <c r="AK28" i="3"/>
  <c r="AL28" i="3" s="1"/>
  <c r="T25" i="2" s="1"/>
  <c r="Z27" i="3"/>
  <c r="AA27" i="3" s="1"/>
  <c r="S24" i="2" s="1"/>
  <c r="AK27" i="3"/>
  <c r="AL27" i="3" s="1"/>
  <c r="T24" i="2" s="1"/>
  <c r="I23" i="4"/>
  <c r="L23" i="4" s="1"/>
  <c r="I22" i="4"/>
  <c r="L22" i="4" s="1"/>
  <c r="AK26" i="3"/>
  <c r="AL26" i="3" s="1"/>
  <c r="T23" i="2" s="1"/>
  <c r="Z26" i="3"/>
  <c r="AA26" i="3" s="1"/>
  <c r="S23" i="2" s="1"/>
  <c r="Z25" i="3"/>
  <c r="AA25" i="3" s="1"/>
  <c r="S22" i="2" s="1"/>
  <c r="AK25" i="3"/>
  <c r="AL25" i="3" s="1"/>
  <c r="T22" i="2" s="1"/>
  <c r="I20" i="4"/>
  <c r="L20" i="4" s="1"/>
  <c r="AK24" i="3"/>
  <c r="AL24" i="3" s="1"/>
  <c r="T21" i="2" s="1"/>
  <c r="Z24" i="3"/>
  <c r="AA24" i="3" s="1"/>
  <c r="S21" i="2" s="1"/>
  <c r="AK23" i="3"/>
  <c r="AL23" i="3" s="1"/>
  <c r="T20" i="2" s="1"/>
  <c r="Z23" i="3"/>
  <c r="AA23" i="3" s="1"/>
  <c r="S20" i="2" s="1"/>
  <c r="I18" i="4"/>
  <c r="L18" i="4" s="1"/>
  <c r="Z22" i="3"/>
  <c r="AA22" i="3" s="1"/>
  <c r="S19" i="2" s="1"/>
  <c r="AK22" i="3"/>
  <c r="AL22" i="3" s="1"/>
  <c r="T19" i="2" s="1"/>
  <c r="AK21" i="3"/>
  <c r="AL21" i="3" s="1"/>
  <c r="T18" i="2" s="1"/>
  <c r="Z21" i="3"/>
  <c r="AA21" i="3" s="1"/>
  <c r="S18" i="2" s="1"/>
  <c r="I16" i="4"/>
  <c r="L16" i="4" s="1"/>
  <c r="Z20" i="3"/>
  <c r="AA20" i="3" s="1"/>
  <c r="S17" i="2" s="1"/>
  <c r="AK20" i="3"/>
  <c r="AL20" i="3" s="1"/>
  <c r="T17" i="2" s="1"/>
  <c r="Z19" i="3"/>
  <c r="AA19" i="3" s="1"/>
  <c r="S16" i="2" s="1"/>
  <c r="AK19" i="3"/>
  <c r="AL19" i="3" s="1"/>
  <c r="T16" i="2" s="1"/>
  <c r="I15" i="4"/>
  <c r="L15" i="4" s="1"/>
  <c r="I14" i="4"/>
  <c r="L14" i="4" s="1"/>
  <c r="AK18" i="3"/>
  <c r="AL18" i="3" s="1"/>
  <c r="T15" i="2" s="1"/>
  <c r="Z18" i="3"/>
  <c r="AA18" i="3" s="1"/>
  <c r="S15" i="2" s="1"/>
  <c r="Z17" i="3"/>
  <c r="AA17" i="3" s="1"/>
  <c r="S14" i="2" s="1"/>
  <c r="AK17" i="3"/>
  <c r="AL17" i="3" s="1"/>
  <c r="T14" i="2" s="1"/>
  <c r="I12" i="4"/>
  <c r="L12" i="4" s="1"/>
  <c r="AK16" i="3"/>
  <c r="AL16" i="3" s="1"/>
  <c r="T13" i="2" s="1"/>
  <c r="Z16" i="3"/>
  <c r="AA16" i="3" s="1"/>
  <c r="S13" i="2" s="1"/>
  <c r="AK15" i="3"/>
  <c r="AL15" i="3" s="1"/>
  <c r="T12" i="2" s="1"/>
  <c r="Z15" i="3"/>
  <c r="AA15" i="3" s="1"/>
  <c r="S12" i="2" s="1"/>
  <c r="I93" i="4"/>
  <c r="L93" i="4" s="1"/>
  <c r="Z97" i="3"/>
  <c r="AA97" i="3" s="1"/>
  <c r="S94" i="2" s="1"/>
  <c r="I6" i="4"/>
  <c r="L6" i="4" s="1"/>
  <c r="Z10" i="3"/>
  <c r="C92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B103" i="1"/>
  <c r="C102" i="1"/>
  <c r="B102" i="1"/>
  <c r="C101" i="1"/>
  <c r="B101" i="1"/>
  <c r="C100" i="1"/>
  <c r="B100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B93" i="1"/>
  <c r="C93" i="1"/>
  <c r="B51" i="1"/>
  <c r="B7" i="1"/>
  <c r="B8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K46" i="1" l="1"/>
  <c r="K1" i="1"/>
  <c r="AA10" i="3"/>
  <c r="S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<sst xmlns="http://schemas.openxmlformats.org/spreadsheetml/2006/main" count="607" uniqueCount="177">
  <si>
    <t>Date:</t>
  </si>
  <si>
    <t xml:space="preserve"> </t>
  </si>
  <si>
    <t>page</t>
  </si>
  <si>
    <t>Report #</t>
  </si>
  <si>
    <t>Set S/N</t>
  </si>
  <si>
    <t>UUT Set is tested to Grade:</t>
  </si>
  <si>
    <t>0</t>
  </si>
  <si>
    <t>Set Templates:</t>
  </si>
  <si>
    <t>block Serial #</t>
  </si>
  <si>
    <t>Custom Sizes</t>
  </si>
  <si>
    <t>Nominal Size (inches)</t>
  </si>
  <si>
    <t>Reading at marked Side</t>
  </si>
  <si>
    <t>Reading 2</t>
  </si>
  <si>
    <t>Reading 3</t>
  </si>
  <si>
    <t>Reading 4</t>
  </si>
  <si>
    <t>parallelism result</t>
  </si>
  <si>
    <t>Notes</t>
  </si>
  <si>
    <t>Nominal</t>
  </si>
  <si>
    <t>Length Tolerance(±)</t>
  </si>
  <si>
    <t>Parallelism Tolerance (±)</t>
  </si>
  <si>
    <t>Length error Result</t>
  </si>
  <si>
    <t/>
  </si>
  <si>
    <t xml:space="preserve">  </t>
  </si>
  <si>
    <t xml:space="preserve">page </t>
  </si>
  <si>
    <t>Nominal Size</t>
  </si>
  <si>
    <t>Reading at marked face</t>
  </si>
  <si>
    <t>parallelism result:</t>
  </si>
  <si>
    <t>Notes:</t>
  </si>
  <si>
    <t>Page</t>
  </si>
  <si>
    <t>Johnson Gage and Inspection, Inc.</t>
  </si>
  <si>
    <t>of</t>
  </si>
  <si>
    <t xml:space="preserve">Data Sheet </t>
  </si>
  <si>
    <t>Report #:</t>
  </si>
  <si>
    <t>Set S/N:</t>
  </si>
  <si>
    <r>
      <rPr>
        <sz val="10"/>
        <rFont val="Arial"/>
        <family val="2"/>
      </rPr>
      <t>B</t>
    </r>
    <r>
      <rPr>
        <b/>
        <sz val="10"/>
        <rFont val="Arial"/>
        <family val="2"/>
      </rPr>
      <t>lock Serial #</t>
    </r>
  </si>
  <si>
    <t>Deviation Indicated</t>
  </si>
  <si>
    <t>Variation in Length</t>
  </si>
  <si>
    <t>Uncertainty@k=2</t>
  </si>
  <si>
    <t xml:space="preserve">Johnson Gage and Inspection, Inc.     </t>
  </si>
  <si>
    <t>Name</t>
  </si>
  <si>
    <t>9 Blocks</t>
  </si>
  <si>
    <t>36 piece set</t>
  </si>
  <si>
    <t>81 piece set</t>
  </si>
  <si>
    <t>No Template</t>
  </si>
  <si>
    <t>0.0625</t>
  </si>
  <si>
    <t>0.050</t>
  </si>
  <si>
    <t>0.100</t>
  </si>
  <si>
    <t>0.125</t>
  </si>
  <si>
    <t>0.1001</t>
  </si>
  <si>
    <t>0.200</t>
  </si>
  <si>
    <t>0.1002</t>
  </si>
  <si>
    <t>0.250</t>
  </si>
  <si>
    <t>0.1003</t>
  </si>
  <si>
    <t>0.300</t>
  </si>
  <si>
    <t>0.1004</t>
  </si>
  <si>
    <t>0.500</t>
  </si>
  <si>
    <t>0.1005</t>
  </si>
  <si>
    <t>1.000</t>
  </si>
  <si>
    <t>0.1006</t>
  </si>
  <si>
    <t>2.0</t>
  </si>
  <si>
    <t>0.1007</t>
  </si>
  <si>
    <t>0.1008</t>
  </si>
  <si>
    <t>0.1009</t>
  </si>
  <si>
    <t>0.101</t>
  </si>
  <si>
    <t>0.102</t>
  </si>
  <si>
    <t>0.103</t>
  </si>
  <si>
    <t>0.104</t>
  </si>
  <si>
    <t>0.105</t>
  </si>
  <si>
    <t>0.106</t>
  </si>
  <si>
    <t>0.107</t>
  </si>
  <si>
    <t>0.108</t>
  </si>
  <si>
    <t>0.109</t>
  </si>
  <si>
    <t>0.110</t>
  </si>
  <si>
    <t>0.120</t>
  </si>
  <si>
    <t>0.111</t>
  </si>
  <si>
    <t>0.130</t>
  </si>
  <si>
    <t>0.112</t>
  </si>
  <si>
    <t>0.140</t>
  </si>
  <si>
    <t>0.113</t>
  </si>
  <si>
    <t>0.150</t>
  </si>
  <si>
    <t>0.114</t>
  </si>
  <si>
    <t>0.160</t>
  </si>
  <si>
    <t>0.115</t>
  </si>
  <si>
    <t>0.170</t>
  </si>
  <si>
    <t>0.116</t>
  </si>
  <si>
    <t>0.180</t>
  </si>
  <si>
    <t>0.117</t>
  </si>
  <si>
    <t>0.190</t>
  </si>
  <si>
    <t>0.118</t>
  </si>
  <si>
    <t>0.119</t>
  </si>
  <si>
    <t>0.400</t>
  </si>
  <si>
    <t>0.121</t>
  </si>
  <si>
    <t>0.122</t>
  </si>
  <si>
    <t>0.123</t>
  </si>
  <si>
    <t>2.000</t>
  </si>
  <si>
    <t>0.124</t>
  </si>
  <si>
    <t>4.000</t>
  </si>
  <si>
    <t>0.126</t>
  </si>
  <si>
    <t>0.127</t>
  </si>
  <si>
    <t>0.128</t>
  </si>
  <si>
    <t>0.129</t>
  </si>
  <si>
    <t>0.131</t>
  </si>
  <si>
    <t>0.132</t>
  </si>
  <si>
    <t>0.133</t>
  </si>
  <si>
    <t>0.134</t>
  </si>
  <si>
    <t>0.135</t>
  </si>
  <si>
    <t>0.136</t>
  </si>
  <si>
    <t>0.137</t>
  </si>
  <si>
    <t>0.138</t>
  </si>
  <si>
    <t>0.139</t>
  </si>
  <si>
    <t>0.141</t>
  </si>
  <si>
    <t>0.142</t>
  </si>
  <si>
    <t>0.143</t>
  </si>
  <si>
    <t>0.144</t>
  </si>
  <si>
    <t>0.145</t>
  </si>
  <si>
    <t>0.146</t>
  </si>
  <si>
    <t>0.147</t>
  </si>
  <si>
    <t>0.148</t>
  </si>
  <si>
    <t>0.149</t>
  </si>
  <si>
    <t>0.350</t>
  </si>
  <si>
    <t>0.450</t>
  </si>
  <si>
    <t>0.550</t>
  </si>
  <si>
    <t>0.600</t>
  </si>
  <si>
    <t>0.650</t>
  </si>
  <si>
    <t>0.700</t>
  </si>
  <si>
    <t>0.750</t>
  </si>
  <si>
    <t>0.800</t>
  </si>
  <si>
    <t>0.850</t>
  </si>
  <si>
    <t>0.900</t>
  </si>
  <si>
    <t>0.950</t>
  </si>
  <si>
    <t>3.000</t>
  </si>
  <si>
    <t>CMC</t>
  </si>
  <si>
    <t>Up to 0.1 in</t>
  </si>
  <si>
    <t>4 µin</t>
  </si>
  <si>
    <t>(0.1 to 4) in</t>
  </si>
  <si>
    <r>
      <t>(2.0 +1.4</t>
    </r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) µin</t>
    </r>
  </si>
  <si>
    <t>(4 to 20) in</t>
  </si>
  <si>
    <r>
      <t>(4.3 + 1.4</t>
    </r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) µin</t>
    </r>
  </si>
  <si>
    <t>Size:</t>
  </si>
  <si>
    <t>Grade:</t>
  </si>
  <si>
    <t>00</t>
  </si>
  <si>
    <t>AS-1</t>
  </si>
  <si>
    <t>AS-2</t>
  </si>
  <si>
    <t>Uncert:</t>
  </si>
  <si>
    <t xml:space="preserve">Uncert for Grade </t>
  </si>
  <si>
    <t>base</t>
  </si>
  <si>
    <t>multiplier</t>
  </si>
  <si>
    <t>up to</t>
  </si>
  <si>
    <t xml:space="preserve">from </t>
  </si>
  <si>
    <t>to</t>
  </si>
  <si>
    <t>from</t>
  </si>
  <si>
    <t>Workshop B</t>
  </si>
  <si>
    <t>Tolerances:</t>
  </si>
  <si>
    <t>Color O.O.T. readings on Print off sheet Red for P?</t>
  </si>
  <si>
    <t>Y</t>
  </si>
  <si>
    <t>Color O.O.T. readings on Print off sheet Red for L?</t>
  </si>
  <si>
    <t>AA</t>
  </si>
  <si>
    <t>A+</t>
  </si>
  <si>
    <t>A</t>
  </si>
  <si>
    <t>B</t>
  </si>
  <si>
    <t>0.5</t>
  </si>
  <si>
    <t>2</t>
  </si>
  <si>
    <t>3</t>
  </si>
  <si>
    <t>Workshop</t>
  </si>
  <si>
    <t>K</t>
  </si>
  <si>
    <t>Length:</t>
  </si>
  <si>
    <t>Vil:</t>
  </si>
  <si>
    <t>Length</t>
  </si>
  <si>
    <t>Vil</t>
  </si>
  <si>
    <t>Action:</t>
  </si>
  <si>
    <t>All functions validated</t>
  </si>
  <si>
    <t>Validation record tab/revision history added</t>
  </si>
  <si>
    <t>updated uncert. To calculate smaller formula to include 4"</t>
  </si>
  <si>
    <t>Updated Datasheet Headings, no software changes</t>
  </si>
  <si>
    <t>Updated uncert to reflect current scope</t>
  </si>
  <si>
    <t>Updated- Fixed an uncertainty calculation error for blocks over 4 inches</t>
  </si>
  <si>
    <t>Added nominal Size templates to enable Quick and automatic setup, new functionality validated.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</si>
</sst>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mmmm\ d\,\ yyyy;@"/>
    <numFmt numFmtId="165" formatCode="0.00000"/>
    <numFmt numFmtId="166" formatCode="0&quot;µin&quot;"/>
    <numFmt numFmtId="167" formatCode="\+0&quot;µin&quot;;\-0&quot;µin&quot;"/>
    <numFmt numFmtId="168" formatCode="#.#&quot;µin&quot;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double">
        <color rgb="FF000000"/>
      </right>
      <top style="medium">
        <color rgb="FF000000"/>
      </top>
      <bottom/>
      <diagonal/>
    </border>
    <border>
      <left style="double">
        <color rgb="FF000000"/>
      </left>
      <right style="medium">
        <color rgb="FF000000"/>
      </right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double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4" fillId="2" borderId="2" xfId="0" applyFont="1" applyFill="1" applyBorder="1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applyFill="1" applyAlignment="1">
      <alignment horizontal="right"/>
    </xf>
    <xf numFmtId="0" fontId="6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2" fillId="2" borderId="0" xfId="0" applyFont="1" applyFill="1"/>
    <xf numFmtId="164" fontId="1" fillId="2" borderId="0" xfId="0" applyNumberFormat="1" applyFont="1" applyFill="1" applyAlignment="1" applyProtection="1">
      <alignment horizontal="left"/>
      <protection locked="0"/>
    </xf>
    <xf numFmtId="0" fontId="7" fillId="2" borderId="0" xfId="0" applyFont="1" applyFill="1"/>
    <xf numFmtId="165" fontId="0" fillId="2" borderId="4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66" fontId="0" fillId="3" borderId="0" xfId="0" applyNumberFormat="1" applyFill="1"/>
    <xf numFmtId="166" fontId="8" fillId="2" borderId="4" xfId="0" applyNumberFormat="1" applyFont="1" applyFill="1" applyBorder="1" applyAlignment="1" applyProtection="1">
      <alignment horizontal="center"/>
      <protection locked="0"/>
    </xf>
    <xf numFmtId="49" fontId="8" fillId="2" borderId="0" xfId="0" applyNumberFormat="1" applyFont="1" applyFill="1" applyAlignment="1" applyProtection="1">
      <alignment horizontal="center"/>
      <protection locked="0"/>
    </xf>
    <xf numFmtId="0" fontId="5" fillId="2" borderId="0" xfId="0" applyFont="1" applyFill="1"/>
    <xf numFmtId="0" fontId="7" fillId="3" borderId="0" xfId="0" applyFont="1" applyFill="1"/>
    <xf numFmtId="167" fontId="6" fillId="2" borderId="1" xfId="0" applyNumberFormat="1" applyFont="1" applyFill="1" applyBorder="1" applyAlignment="1" applyProtection="1">
      <alignment horizontal="center"/>
      <protection locked="0"/>
    </xf>
    <xf numFmtId="167" fontId="6" fillId="2" borderId="5" xfId="0" applyNumberFormat="1" applyFont="1" applyFill="1" applyBorder="1" applyAlignment="1" applyProtection="1">
      <alignment horizontal="center"/>
      <protection locked="0"/>
    </xf>
    <xf numFmtId="167" fontId="8" fillId="2" borderId="4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/>
    <xf numFmtId="167" fontId="8" fillId="2" borderId="8" xfId="0" applyNumberFormat="1" applyFont="1" applyFill="1" applyBorder="1" applyAlignment="1" applyProtection="1">
      <alignment horizontal="center"/>
      <protection locked="0"/>
    </xf>
    <xf numFmtId="167" fontId="9" fillId="2" borderId="8" xfId="0" applyNumberFormat="1" applyFont="1" applyFill="1" applyBorder="1" applyAlignment="1" applyProtection="1">
      <alignment horizontal="center"/>
      <protection locked="0"/>
    </xf>
    <xf numFmtId="14" fontId="10" fillId="2" borderId="7" xfId="0" applyNumberFormat="1" applyFont="1" applyFill="1" applyBorder="1" applyAlignment="1" applyProtection="1">
      <alignment horizontal="left"/>
      <protection locked="0"/>
    </xf>
    <xf numFmtId="0" fontId="7" fillId="2" borderId="7" xfId="0" applyFont="1" applyFill="1" applyBorder="1" applyProtection="1">
      <protection locked="0"/>
    </xf>
    <xf numFmtId="167" fontId="6" fillId="2" borderId="1" xfId="0" applyNumberFormat="1" applyFont="1" applyFill="1" applyBorder="1" applyAlignment="1">
      <alignment horizontal="center"/>
    </xf>
    <xf numFmtId="0" fontId="0" fillId="0" borderId="11" xfId="0" applyBorder="1"/>
    <xf numFmtId="49" fontId="0" fillId="0" borderId="2" xfId="0" applyNumberFormat="1" applyBorder="1"/>
    <xf numFmtId="0" fontId="0" fillId="0" borderId="2" xfId="0" applyBorder="1"/>
    <xf numFmtId="0" fontId="0" fillId="0" borderId="12" xfId="0" applyBorder="1"/>
    <xf numFmtId="49" fontId="0" fillId="0" borderId="0" xfId="0" applyNumberFormat="1"/>
    <xf numFmtId="0" fontId="11" fillId="0" borderId="13" xfId="0" applyFont="1" applyBorder="1" applyAlignment="1">
      <alignment vertical="center" wrapText="1"/>
    </xf>
    <xf numFmtId="0" fontId="11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8" xfId="0" applyFont="1" applyBorder="1" applyAlignment="1">
      <alignment vertical="center" wrapText="1"/>
    </xf>
    <xf numFmtId="0" fontId="0" fillId="0" borderId="19" xfId="0" applyBorder="1"/>
    <xf numFmtId="0" fontId="0" fillId="0" borderId="20" xfId="0" applyBorder="1"/>
    <xf numFmtId="49" fontId="0" fillId="0" borderId="20" xfId="0" applyNumberFormat="1" applyBorder="1"/>
    <xf numFmtId="49" fontId="0" fillId="0" borderId="21" xfId="0" applyNumberFormat="1" applyBorder="1"/>
    <xf numFmtId="0" fontId="0" fillId="0" borderId="22" xfId="0" applyBorder="1"/>
    <xf numFmtId="0" fontId="0" fillId="0" borderId="7" xfId="0" applyBorder="1"/>
    <xf numFmtId="0" fontId="0" fillId="0" borderId="23" xfId="0" applyBorder="1"/>
    <xf numFmtId="0" fontId="11" fillId="0" borderId="0" xfId="0" applyFont="1" applyAlignment="1">
      <alignment vertical="center" wrapText="1"/>
    </xf>
    <xf numFmtId="0" fontId="0" fillId="0" borderId="21" xfId="0" applyBorder="1"/>
    <xf numFmtId="0" fontId="0" fillId="0" borderId="24" xfId="0" applyBorder="1"/>
    <xf numFmtId="0" fontId="0" fillId="0" borderId="25" xfId="0" applyBorder="1"/>
    <xf numFmtId="0" fontId="13" fillId="0" borderId="0" xfId="0" applyFont="1"/>
    <xf numFmtId="49" fontId="0" fillId="2" borderId="0" xfId="0" applyNumberFormat="1" applyFill="1" applyAlignment="1">
      <alignment horizontal="center"/>
    </xf>
    <xf numFmtId="49" fontId="0" fillId="2" borderId="0" xfId="0" applyNumberFormat="1" applyFill="1"/>
    <xf numFmtId="49" fontId="0" fillId="3" borderId="0" xfId="0" applyNumberFormat="1" applyFill="1"/>
    <xf numFmtId="49" fontId="5" fillId="2" borderId="0" xfId="0" applyNumberFormat="1" applyFont="1" applyFill="1"/>
    <xf numFmtId="49" fontId="2" fillId="2" borderId="0" xfId="0" applyNumberFormat="1" applyFont="1" applyFill="1"/>
    <xf numFmtId="168" fontId="0" fillId="2" borderId="8" xfId="0" quotePrefix="1" applyNumberFormat="1" applyFill="1" applyBorder="1" applyAlignment="1">
      <alignment horizontal="center"/>
    </xf>
    <xf numFmtId="49" fontId="4" fillId="2" borderId="2" xfId="0" applyNumberFormat="1" applyFont="1" applyFill="1" applyBorder="1" applyAlignment="1">
      <alignment horizontal="center" wrapText="1"/>
    </xf>
    <xf numFmtId="0" fontId="15" fillId="0" borderId="0" xfId="0" applyFont="1"/>
    <xf numFmtId="0" fontId="0" fillId="0" borderId="0" xfId="0" applyAlignment="1">
      <alignment wrapText="1"/>
    </xf>
    <xf numFmtId="49" fontId="0" fillId="3" borderId="7" xfId="0" applyNumberFormat="1" applyFill="1" applyBorder="1" applyProtection="1">
      <protection locked="0"/>
    </xf>
    <xf numFmtId="49" fontId="0" fillId="0" borderId="0" xfId="0" applyNumberFormat="1" applyAlignment="1">
      <alignment horizontal="center"/>
    </xf>
    <xf numFmtId="49" fontId="0" fillId="2" borderId="3" xfId="0" applyNumberFormat="1" applyFill="1" applyBorder="1" applyAlignment="1">
      <alignment horizontal="center" shrinkToFit="1"/>
    </xf>
    <xf numFmtId="49" fontId="0" fillId="2" borderId="9" xfId="0" applyNumberFormat="1" applyFill="1" applyBorder="1" applyAlignment="1">
      <alignment horizontal="center" shrinkToFit="1"/>
    </xf>
    <xf numFmtId="49" fontId="0" fillId="2" borderId="4" xfId="0" applyNumberFormat="1" applyFill="1" applyBorder="1" applyAlignment="1">
      <alignment horizontal="center" shrinkToFit="1"/>
    </xf>
    <xf numFmtId="49" fontId="0" fillId="3" borderId="0" xfId="0" applyNumberFormat="1" applyFill="1" applyAlignment="1">
      <alignment horizontal="center"/>
    </xf>
    <xf numFmtId="49" fontId="0" fillId="2" borderId="3" xfId="0" applyNumberFormat="1" applyFill="1" applyBorder="1" applyAlignment="1" applyProtection="1">
      <alignment horizontal="center" shrinkToFit="1"/>
      <protection locked="0"/>
    </xf>
    <xf numFmtId="49" fontId="0" fillId="2" borderId="9" xfId="0" applyNumberFormat="1" applyFill="1" applyBorder="1" applyAlignment="1" applyProtection="1">
      <alignment horizontal="center" shrinkToFit="1"/>
      <protection locked="0"/>
    </xf>
    <xf numFmtId="49" fontId="0" fillId="2" borderId="4" xfId="0" applyNumberFormat="1" applyFill="1" applyBorder="1" applyAlignment="1" applyProtection="1">
      <alignment horizontal="center" shrinkToFit="1"/>
      <protection locked="0"/>
    </xf>
    <xf numFmtId="167" fontId="0" fillId="0" borderId="0" xfId="0" applyNumberFormat="1"/>
    <xf numFmtId="14" fontId="0" fillId="0" borderId="0" xfId="0" applyNumberFormat="1"/>
    <xf numFmtId="164" fontId="2" fillId="2" borderId="0" xfId="0" applyNumberFormat="1" applyFont="1" applyFill="1" applyAlignment="1" applyProtection="1">
      <alignment horizontal="right"/>
      <protection locked="0"/>
    </xf>
    <xf numFmtId="0" fontId="0" fillId="3" borderId="26" xfId="0" applyFill="1" applyBorder="1"/>
    <xf numFmtId="0" fontId="2" fillId="2" borderId="0" xfId="0" applyFont="1" applyFill="1" applyProtection="1">
      <protection locked="0"/>
    </xf>
    <xf numFmtId="0" fontId="3" fillId="2" borderId="0" xfId="0" applyFont="1" applyFill="1"/>
    <xf numFmtId="0" fontId="17" fillId="0" borderId="2" xfId="0" applyFont="1" applyBorder="1" applyAlignment="1">
      <alignment horizontal="center" vertical="center"/>
    </xf>
    <xf numFmtId="49" fontId="8" fillId="2" borderId="9" xfId="0" applyNumberFormat="1" applyFont="1" applyFill="1" applyBorder="1" applyAlignment="1">
      <alignment horizontal="center" shrinkToFit="1"/>
    </xf>
    <xf numFmtId="49" fontId="8" fillId="2" borderId="4" xfId="0" applyNumberFormat="1" applyFont="1" applyFill="1" applyBorder="1" applyAlignment="1">
      <alignment horizontal="center" shrinkToFit="1"/>
    </xf>
    <xf numFmtId="0" fontId="17" fillId="2" borderId="2" xfId="0" applyFont="1" applyFill="1" applyBorder="1" applyAlignment="1">
      <alignment horizontal="center" vertical="center"/>
    </xf>
    <xf numFmtId="0" fontId="19" fillId="0" borderId="28" xfId="0" applyFont="1" applyBorder="1" applyAlignment="1">
      <alignment horizontal="center" wrapText="1"/>
    </xf>
    <xf numFmtId="0" fontId="19" fillId="0" borderId="29" xfId="0" applyFont="1" applyBorder="1" applyAlignment="1">
      <alignment horizontal="center" wrapText="1"/>
    </xf>
    <xf numFmtId="0" fontId="0" fillId="0" borderId="27" xfId="0" applyBorder="1" applyAlignment="1" applyProtection="1">
      <alignment horizontal="center" wrapText="1"/>
      <protection locked="0"/>
    </xf>
    <xf numFmtId="0" fontId="0" fillId="0" borderId="9" xfId="0" applyBorder="1" applyProtection="1">
      <protection locked="0"/>
    </xf>
    <xf numFmtId="0" fontId="0" fillId="0" borderId="4" xfId="0" applyBorder="1" applyProtection="1">
      <protection locked="0"/>
    </xf>
    <xf numFmtId="49" fontId="0" fillId="2" borderId="0" xfId="0" applyNumberFormat="1" applyFill="1" applyAlignment="1" applyProtection="1">
      <alignment horizontal="center"/>
      <protection locked="0"/>
    </xf>
    <xf numFmtId="49" fontId="4" fillId="2" borderId="2" xfId="0" applyNumberFormat="1" applyFont="1" applyFill="1" applyBorder="1" applyAlignment="1" applyProtection="1">
      <alignment horizontal="center" wrapText="1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0" fontId="0" fillId="2" borderId="4" xfId="0" applyFill="1" applyBorder="1" applyAlignment="1">
      <alignment horizontal="center"/>
    </xf>
    <xf numFmtId="0" fontId="15" fillId="3" borderId="0" xfId="0" applyFont="1" applyFill="1" applyProtection="1">
      <protection locked="0" hidden="1"/>
    </xf>
    <xf numFmtId="49" fontId="0" fillId="2" borderId="5" xfId="0" quotePrefix="1" applyNumberFormat="1" applyFill="1" applyBorder="1" applyAlignment="1" applyProtection="1">
      <alignment horizontal="left"/>
      <protection locked="0"/>
    </xf>
    <xf numFmtId="49" fontId="0" fillId="2" borderId="6" xfId="0" quotePrefix="1" applyNumberFormat="1" applyFill="1" applyBorder="1" applyAlignment="1" applyProtection="1">
      <alignment horizontal="left"/>
      <protection locked="0"/>
    </xf>
    <xf numFmtId="49" fontId="4" fillId="2" borderId="2" xfId="0" applyNumberFormat="1" applyFont="1" applyFill="1" applyBorder="1" applyAlignment="1">
      <alignment horizontal="center"/>
    </xf>
    <xf numFmtId="49" fontId="16" fillId="2" borderId="5" xfId="0" quotePrefix="1" applyNumberFormat="1" applyFont="1" applyFill="1" applyBorder="1" applyAlignment="1" applyProtection="1">
      <alignment horizontal="left"/>
      <protection locked="0"/>
    </xf>
    <xf numFmtId="49" fontId="16" fillId="2" borderId="6" xfId="0" quotePrefix="1" applyNumberFormat="1" applyFont="1" applyFill="1" applyBorder="1" applyAlignment="1" applyProtection="1">
      <alignment horizontal="left"/>
      <protection locked="0"/>
    </xf>
    <xf numFmtId="0" fontId="14" fillId="2" borderId="10" xfId="0" quotePrefix="1" applyFont="1" applyFill="1" applyBorder="1" applyAlignment="1">
      <alignment horizontal="left"/>
    </xf>
    <xf numFmtId="0" fontId="14" fillId="2" borderId="6" xfId="0" quotePrefix="1" applyFont="1" applyFill="1" applyBorder="1" applyAlignment="1">
      <alignment horizontal="left"/>
    </xf>
    <xf numFmtId="0" fontId="3" fillId="2" borderId="0" xfId="0" applyFont="1" applyFill="1" applyAlignment="1">
      <alignment horizontal="center"/>
    </xf>
    <xf numFmtId="14" fontId="1" fillId="2" borderId="2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2" fontId="0" fillId="0" borderId="9" xfId="0" applyNumberFormat="1" applyBorder="1" applyProtection="1">
      <protection locked="0"/>
    </xf>
  </cellXfs>
  <cellStyles count="1">
    <cellStyle name="Normal" xfId="0" builtinId="0"/>
  </cellStyles>
  <dxfs count="1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Lines="20" dropStyle="combo" dx="26" fmlaLink="$F$4" fmlaRange="TemplateNames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2</xdr:row>
          <xdr:rowOff>200025</xdr:rowOff>
        </xdr:from>
        <xdr:to>
          <xdr:col>9</xdr:col>
          <xdr:colOff>123825</xdr:colOff>
          <xdr:row>4</xdr:row>
          <xdr:rowOff>28575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37"/>
  <sheetViews>
    <sheetView tabSelected="1" zoomScaleNormal="100" zoomScaleSheetLayoutView="100" workbookViewId="0">
      <selection activeCell="E9" sqref="E9"/>
    </sheetView>
  </sheetViews>
  <sheetFormatPr defaultColWidth="9.140625" defaultRowHeight="15" x14ac:dyDescent="0.25"/>
  <cols>
    <col min="1" max="1" width="7.28515625" style="9" customWidth="1"/>
    <col min="2" max="2" width="9.85546875" style="63" customWidth="1"/>
    <col min="3" max="3" width="7.42578125" style="63" customWidth="1"/>
    <col min="4" max="4" width="11.28515625" customWidth="1"/>
    <col min="5" max="5" width="11.140625" customWidth="1"/>
    <col min="6" max="6" width="10.140625" customWidth="1"/>
    <col min="7" max="7" width="9.7109375" customWidth="1"/>
    <col min="8" max="8" width="11.28515625" customWidth="1"/>
    <col min="9" max="9" width="11" customWidth="1"/>
    <col min="10" max="10" width="9.42578125" style="34" customWidth="1"/>
    <col min="11" max="11" width="8.28515625" style="34" customWidth="1"/>
    <col min="12" max="12" width="1.85546875" style="10" customWidth="1"/>
    <col min="13" max="13" width="5" style="10" customWidth="1"/>
    <col min="14" max="14" width="1.85546875" style="10" customWidth="1"/>
    <col min="15" max="15" width="1.42578125" style="3" customWidth="1"/>
    <col min="16" max="16" width="1.7109375" customWidth="1"/>
    <col min="17" max="17" width="1.5703125" customWidth="1"/>
    <col min="18" max="18" width="1.42578125" style="60" customWidth="1"/>
    <col min="19" max="19" width="11.85546875" customWidth="1"/>
    <col min="20" max="20" width="16" customWidth="1"/>
    <col min="21" max="21" width="17.7109375" style="3" customWidth="1"/>
  </cols>
  <sheetData>
    <row r="1" spans="2:22" ht="15.75" customHeight="1" thickBot="1" x14ac:dyDescent="0.3">
      <c r="D1" s="2" t="s">
        <v>0</v>
      </c>
      <c r="E1" s="27" t="s">
        <v>1</v>
      </c>
      <c r="F1" s="19"/>
      <c r="G1" s="19"/>
      <c r="H1" s="24"/>
      <c r="I1" s="19"/>
      <c r="J1" s="56"/>
      <c r="K1" s="34" t="s">
        <v>2</v>
      </c>
      <c r="L1" s="6">
        <v>2</v>
      </c>
      <c r="T1">
        <v>1.1399999999999999</v>
      </c>
    </row>
    <row r="2" spans="2:22" ht="18" customHeight="1" thickBot="1" x14ac:dyDescent="0.3">
      <c r="B2" s="57"/>
      <c r="C2" s="57"/>
      <c r="D2" s="2" t="s">
        <v>3</v>
      </c>
      <c r="E2" s="28" t="s">
        <v>1</v>
      </c>
      <c r="F2" s="12"/>
      <c r="G2" s="73" t="s">
        <v>4</v>
      </c>
      <c r="H2" s="75" t="s">
        <v>1</v>
      </c>
      <c r="I2" s="11"/>
      <c r="J2" s="57"/>
      <c r="K2" s="57"/>
      <c r="T2">
        <v>1.1399999999999999</v>
      </c>
    </row>
    <row r="3" spans="2:22" ht="17.25" thickTop="1" thickBot="1" x14ac:dyDescent="0.3">
      <c r="B3" s="53"/>
      <c r="C3" s="53"/>
      <c r="D3" s="2" t="s">
        <v>5</v>
      </c>
      <c r="E3" s="62" t="s">
        <v>6</v>
      </c>
      <c r="F3" s="13"/>
      <c r="G3" s="20"/>
      <c r="H3" s="74"/>
      <c r="I3" s="9"/>
      <c r="J3" s="55"/>
      <c r="K3" s="53"/>
      <c r="T3">
        <f>6.57-T2-T1</f>
        <v>4.2900000000000009</v>
      </c>
    </row>
    <row r="4" spans="2:22" x14ac:dyDescent="0.25">
      <c r="D4" s="1"/>
      <c r="E4" s="9"/>
      <c r="F4" s="90">
        <v>1</v>
      </c>
      <c r="G4" s="9" t="s">
        <v>7</v>
      </c>
      <c r="H4" s="1"/>
      <c r="I4" s="1"/>
      <c r="J4" s="54"/>
      <c r="K4" s="53"/>
    </row>
    <row r="5" spans="2:22" ht="45" x14ac:dyDescent="0.25">
      <c r="B5" s="59" t="s">
        <v>8</v>
      </c>
      <c r="C5" s="59" t="s">
        <v>9</v>
      </c>
      <c r="D5" s="4" t="s">
        <v>10</v>
      </c>
      <c r="E5" s="4" t="s">
        <v>11</v>
      </c>
      <c r="F5" s="4" t="s">
        <v>12</v>
      </c>
      <c r="G5" s="4" t="s">
        <v>13</v>
      </c>
      <c r="H5" s="4" t="s">
        <v>14</v>
      </c>
      <c r="I5" s="4" t="s">
        <v>15</v>
      </c>
      <c r="J5" s="93" t="s">
        <v>16</v>
      </c>
      <c r="K5" s="93"/>
      <c r="R5" s="60" t="s">
        <v>17</v>
      </c>
      <c r="S5" s="61" t="s">
        <v>18</v>
      </c>
      <c r="T5" s="61" t="s">
        <v>19</v>
      </c>
      <c r="U5" s="3" t="s">
        <v>20</v>
      </c>
    </row>
    <row r="6" spans="2:22" x14ac:dyDescent="0.25">
      <c r="B6" s="68" t="s">
        <v>1</v>
      </c>
      <c r="C6" s="69"/>
      <c r="D6" s="89" t="str">
        <f>IF(C6&lt;&gt;"",C6,IF(HLOOKUP($F$4,Templates!$C$4:$V$124,Templates!B5+1,FALSE)=0,"",HLOOKUP($F$4,Templates!$C$4:$V$124,Templates!B5+1,FALSE)))</f>
        <v/>
      </c>
      <c r="E6" s="21"/>
      <c r="F6" s="21"/>
      <c r="G6" s="21"/>
      <c r="H6" s="23"/>
      <c r="I6" s="15" t="str">
        <f>IF(AND(E6&lt;&gt;"",F6&lt;&gt;"",G6&lt;&gt;""),ABS((MAX(E6:H6)-MIN(E6:H6))),"")</f>
        <v/>
      </c>
      <c r="J6" s="94"/>
      <c r="K6" s="95"/>
      <c r="R6" s="60" t="str">
        <f t="shared" ref="R6:R42" si="0">IF(ISERROR(VALUE(D6)),"",VALUE(D6))</f>
        <v/>
      </c>
      <c r="S6" t="str">
        <f>IF(D6&lt;&gt;"",Tolerances!AA9,"")</f>
        <v/>
      </c>
      <c r="T6" t="str">
        <f>IF(D6&lt;&gt;"",Tolerances!AL9,"")</f>
        <v/>
      </c>
      <c r="U6" s="3">
        <f>IF(ABS(MAX(E6:H6))&gt;ABS(MIN(E6:H6)),MAX(E6:H6),MIN(E6:H6))</f>
        <v>0</v>
      </c>
      <c r="V6" s="71"/>
    </row>
    <row r="7" spans="2:22" x14ac:dyDescent="0.25">
      <c r="B7" s="69" t="s">
        <v>1</v>
      </c>
      <c r="C7" s="69"/>
      <c r="D7" s="89" t="str">
        <f>IF(C7&lt;&gt;"",C7,IF(HLOOKUP($F$4,Templates!$C$4:$V$124,Templates!B6+1,FALSE)=0,"",HLOOKUP($F$4,Templates!$C$4:$V$124,Templates!B6+1,FALSE)))</f>
        <v/>
      </c>
      <c r="E7" s="21"/>
      <c r="F7" s="21"/>
      <c r="G7" s="21"/>
      <c r="H7" s="25"/>
      <c r="I7" s="15" t="str">
        <f>IF(AND(E7&lt;&gt;"",F7&lt;&gt;"",G7&lt;&gt;""),ABS((MAX(E7:H7)-MIN(E7:H7))),"")</f>
        <v/>
      </c>
      <c r="J7" s="91"/>
      <c r="K7" s="92"/>
      <c r="R7" s="60" t="str">
        <f t="shared" si="0"/>
        <v/>
      </c>
      <c r="S7" t="str">
        <f>IF(D7&lt;&gt;"",Tolerances!AA10,"")</f>
        <v/>
      </c>
      <c r="T7" t="str">
        <f>IF(D7&lt;&gt;"",Tolerances!AL10,"")</f>
        <v/>
      </c>
      <c r="U7" s="3">
        <f>IF(ABS(MAX(E7:H7))&gt;ABS(MIN(E7:H7)),MAX(E7:H7),MIN(E7:H7))</f>
        <v>0</v>
      </c>
    </row>
    <row r="8" spans="2:22" x14ac:dyDescent="0.25">
      <c r="B8" s="69" t="s">
        <v>1</v>
      </c>
      <c r="C8" s="69"/>
      <c r="D8" s="89" t="str">
        <f>IF(C8&lt;&gt;"",C8,IF(HLOOKUP($F$4,Templates!$C$4:$V$124,Templates!B7+1,FALSE)=0,"",HLOOKUP($F$4,Templates!$C$4:$V$124,Templates!B7+1,FALSE)))</f>
        <v/>
      </c>
      <c r="E8" s="21"/>
      <c r="F8" s="21"/>
      <c r="G8" s="21"/>
      <c r="H8" s="25"/>
      <c r="I8" s="15" t="str">
        <f t="shared" ref="I8:I45" si="1">IF(AND(E8&lt;&gt;"",F8&lt;&gt;"",G8&lt;&gt;""),ABS((MAX(E8:H8)-MIN(E8:H8))),"")</f>
        <v/>
      </c>
      <c r="J8" s="91" t="s">
        <v>21</v>
      </c>
      <c r="K8" s="92"/>
      <c r="R8" s="60" t="str">
        <f t="shared" si="0"/>
        <v/>
      </c>
      <c r="S8" t="str">
        <f>IF(D8&lt;&gt;"",Tolerances!AA11,"")</f>
        <v/>
      </c>
      <c r="T8" t="str">
        <f>IF(D8&lt;&gt;"",Tolerances!AL11,"")</f>
        <v/>
      </c>
      <c r="U8" s="3">
        <f t="shared" ref="U8:U70" si="2">IF(ABS(MAX(E8:H8))&gt;ABS(MIN(E8:H8)),MAX(E8:H8),MIN(E8:H8))</f>
        <v>0</v>
      </c>
    </row>
    <row r="9" spans="2:22" x14ac:dyDescent="0.25">
      <c r="B9" s="69" t="s">
        <v>1</v>
      </c>
      <c r="C9" s="69"/>
      <c r="D9" s="89" t="str">
        <f>IF(C9&lt;&gt;"",C9,IF(HLOOKUP($F$4,Templates!$C$4:$V$124,Templates!B8+1,FALSE)=0,"",HLOOKUP($F$4,Templates!$C$4:$V$124,Templates!B8+1,FALSE)))</f>
        <v/>
      </c>
      <c r="E9" s="21"/>
      <c r="F9" s="21"/>
      <c r="G9" s="21"/>
      <c r="H9" s="25"/>
      <c r="I9" s="15" t="str">
        <f t="shared" si="1"/>
        <v/>
      </c>
      <c r="J9" s="91" t="s">
        <v>21</v>
      </c>
      <c r="K9" s="92"/>
      <c r="R9" s="60" t="str">
        <f t="shared" si="0"/>
        <v/>
      </c>
      <c r="S9" t="str">
        <f>IF(D9&lt;&gt;"",Tolerances!AA12,"")</f>
        <v/>
      </c>
      <c r="T9" t="str">
        <f>IF(D9&lt;&gt;"",Tolerances!AL12,"")</f>
        <v/>
      </c>
      <c r="U9" s="3">
        <f t="shared" si="2"/>
        <v>0</v>
      </c>
    </row>
    <row r="10" spans="2:22" x14ac:dyDescent="0.25">
      <c r="B10" s="69" t="s">
        <v>1</v>
      </c>
      <c r="C10" s="69"/>
      <c r="D10" s="89" t="str">
        <f>IF(C10&lt;&gt;"",C10,IF(HLOOKUP($F$4,Templates!$C$4:$V$124,Templates!B9+1,FALSE)=0,"",HLOOKUP($F$4,Templates!$C$4:$V$124,Templates!B9+1,FALSE)))</f>
        <v/>
      </c>
      <c r="E10" s="21"/>
      <c r="F10" s="21" t="s">
        <v>1</v>
      </c>
      <c r="G10" s="21"/>
      <c r="H10" s="25" t="s">
        <v>1</v>
      </c>
      <c r="I10" s="15" t="str">
        <f t="shared" si="1"/>
        <v/>
      </c>
      <c r="J10" s="91" t="s">
        <v>21</v>
      </c>
      <c r="K10" s="92"/>
      <c r="R10" s="60" t="str">
        <f t="shared" si="0"/>
        <v/>
      </c>
      <c r="S10" t="str">
        <f>IF(D10&lt;&gt;"",Tolerances!AA13,"")</f>
        <v/>
      </c>
      <c r="T10" t="str">
        <f>IF(D10&lt;&gt;"",Tolerances!AL13,"")</f>
        <v/>
      </c>
      <c r="U10" s="3">
        <f t="shared" si="2"/>
        <v>0</v>
      </c>
    </row>
    <row r="11" spans="2:22" x14ac:dyDescent="0.25">
      <c r="B11" s="69" t="s">
        <v>1</v>
      </c>
      <c r="C11" s="69"/>
      <c r="D11" s="89" t="str">
        <f>IF(C11&lt;&gt;"",C11,IF(HLOOKUP($F$4,Templates!$C$4:$V$124,Templates!B10+1,FALSE)=0,"",HLOOKUP($F$4,Templates!$C$4:$V$124,Templates!B10+1,FALSE)))</f>
        <v/>
      </c>
      <c r="E11" s="21"/>
      <c r="F11" s="21" t="s">
        <v>1</v>
      </c>
      <c r="G11" s="21"/>
      <c r="H11" s="25" t="s">
        <v>1</v>
      </c>
      <c r="I11" s="15" t="str">
        <f t="shared" si="1"/>
        <v/>
      </c>
      <c r="J11" s="91" t="s">
        <v>21</v>
      </c>
      <c r="K11" s="92"/>
      <c r="R11" s="60" t="str">
        <f t="shared" si="0"/>
        <v/>
      </c>
      <c r="S11" t="str">
        <f>IF(D11&lt;&gt;"",Tolerances!AA14,"")</f>
        <v/>
      </c>
      <c r="T11" t="str">
        <f>IF(D11&lt;&gt;"",Tolerances!AL14,"")</f>
        <v/>
      </c>
      <c r="U11" s="3">
        <f t="shared" si="2"/>
        <v>0</v>
      </c>
    </row>
    <row r="12" spans="2:22" x14ac:dyDescent="0.25">
      <c r="B12" s="69" t="s">
        <v>1</v>
      </c>
      <c r="C12" s="69"/>
      <c r="D12" s="89" t="str">
        <f>IF(C12&lt;&gt;"",C12,IF(HLOOKUP($F$4,Templates!$C$4:$V$124,Templates!B11+1,FALSE)=0,"",HLOOKUP($F$4,Templates!$C$4:$V$124,Templates!B11+1,FALSE)))</f>
        <v/>
      </c>
      <c r="E12" s="21"/>
      <c r="F12" s="21"/>
      <c r="G12" s="21"/>
      <c r="H12" s="26"/>
      <c r="I12" s="15" t="str">
        <f t="shared" si="1"/>
        <v/>
      </c>
      <c r="J12" s="91" t="s">
        <v>21</v>
      </c>
      <c r="K12" s="92"/>
      <c r="R12" s="60" t="str">
        <f t="shared" si="0"/>
        <v/>
      </c>
      <c r="S12" t="str">
        <f>IF(D12&lt;&gt;"",Tolerances!AA15,"")</f>
        <v/>
      </c>
      <c r="T12" t="str">
        <f>IF(D12&lt;&gt;"",Tolerances!AL15,"")</f>
        <v/>
      </c>
      <c r="U12" s="3">
        <f t="shared" si="2"/>
        <v>0</v>
      </c>
    </row>
    <row r="13" spans="2:22" x14ac:dyDescent="0.25">
      <c r="B13" s="69" t="s">
        <v>1</v>
      </c>
      <c r="C13" s="69"/>
      <c r="D13" s="89" t="str">
        <f>IF(C13&lt;&gt;"",C13,IF(HLOOKUP($F$4,Templates!$C$4:$V$124,Templates!B12+1,FALSE)=0,"",HLOOKUP($F$4,Templates!$C$4:$V$124,Templates!B12+1,FALSE)))</f>
        <v/>
      </c>
      <c r="E13" s="21"/>
      <c r="F13" s="21"/>
      <c r="G13" s="21"/>
      <c r="H13" s="23"/>
      <c r="I13" s="15" t="str">
        <f t="shared" si="1"/>
        <v/>
      </c>
      <c r="J13" s="91" t="s">
        <v>21</v>
      </c>
      <c r="K13" s="92"/>
      <c r="R13" s="60" t="str">
        <f t="shared" si="0"/>
        <v/>
      </c>
      <c r="S13" t="str">
        <f>IF(D13&lt;&gt;"",Tolerances!AA16,"")</f>
        <v/>
      </c>
      <c r="T13" t="str">
        <f>IF(D13&lt;&gt;"",Tolerances!AL16,"")</f>
        <v/>
      </c>
      <c r="U13" s="3">
        <f t="shared" si="2"/>
        <v>0</v>
      </c>
    </row>
    <row r="14" spans="2:22" x14ac:dyDescent="0.25">
      <c r="B14" s="69" t="s">
        <v>1</v>
      </c>
      <c r="C14" s="69"/>
      <c r="D14" s="89" t="str">
        <f>IF(C14&lt;&gt;"",C14,IF(HLOOKUP($F$4,Templates!$C$4:$V$124,Templates!B13+1,FALSE)=0,"",HLOOKUP($F$4,Templates!$C$4:$V$124,Templates!B13+1,FALSE)))</f>
        <v/>
      </c>
      <c r="E14" s="21"/>
      <c r="F14" s="21"/>
      <c r="G14" s="21"/>
      <c r="H14" s="25"/>
      <c r="I14" s="15" t="str">
        <f t="shared" si="1"/>
        <v/>
      </c>
      <c r="J14" s="91" t="s">
        <v>21</v>
      </c>
      <c r="K14" s="92"/>
      <c r="R14" s="60" t="str">
        <f t="shared" si="0"/>
        <v/>
      </c>
      <c r="S14" t="str">
        <f>IF(D14&lt;&gt;"",Tolerances!AA17,"")</f>
        <v/>
      </c>
      <c r="T14" t="str">
        <f>IF(D14&lt;&gt;"",Tolerances!AL17,"")</f>
        <v/>
      </c>
      <c r="U14" s="3">
        <f t="shared" si="2"/>
        <v>0</v>
      </c>
    </row>
    <row r="15" spans="2:22" x14ac:dyDescent="0.25">
      <c r="B15" s="69" t="s">
        <v>1</v>
      </c>
      <c r="C15" s="69"/>
      <c r="D15" s="89" t="str">
        <f>IF(C15&lt;&gt;"",C15,IF(HLOOKUP($F$4,Templates!$C$4:$V$124,Templates!B14+1,FALSE)=0,"",HLOOKUP($F$4,Templates!$C$4:$V$124,Templates!B14+1,FALSE)))</f>
        <v/>
      </c>
      <c r="E15" s="21"/>
      <c r="F15" s="21"/>
      <c r="G15" s="21"/>
      <c r="H15" s="25"/>
      <c r="I15" s="15" t="str">
        <f t="shared" si="1"/>
        <v/>
      </c>
      <c r="J15" s="91" t="s">
        <v>21</v>
      </c>
      <c r="K15" s="92"/>
      <c r="R15" s="60" t="str">
        <f t="shared" si="0"/>
        <v/>
      </c>
      <c r="S15" t="str">
        <f>IF(D15&lt;&gt;"",Tolerances!AA18,"")</f>
        <v/>
      </c>
      <c r="T15" t="str">
        <f>IF(D15&lt;&gt;"",Tolerances!AL18,"")</f>
        <v/>
      </c>
      <c r="U15" s="3">
        <f t="shared" si="2"/>
        <v>0</v>
      </c>
    </row>
    <row r="16" spans="2:22" x14ac:dyDescent="0.25">
      <c r="B16" s="69" t="s">
        <v>1</v>
      </c>
      <c r="C16" s="69"/>
      <c r="D16" s="89" t="str">
        <f>IF(C16&lt;&gt;"",C16,IF(HLOOKUP($F$4,Templates!$C$4:$V$124,Templates!B15+1,FALSE)=0,"",HLOOKUP($F$4,Templates!$C$4:$V$124,Templates!B15+1,FALSE)))</f>
        <v/>
      </c>
      <c r="E16" s="21"/>
      <c r="F16" s="21"/>
      <c r="G16" s="21"/>
      <c r="H16" s="25"/>
      <c r="I16" s="15" t="str">
        <f t="shared" si="1"/>
        <v/>
      </c>
      <c r="J16" s="91" t="s">
        <v>21</v>
      </c>
      <c r="K16" s="92"/>
      <c r="R16" s="60" t="str">
        <f t="shared" si="0"/>
        <v/>
      </c>
      <c r="S16" t="str">
        <f>IF(D16&lt;&gt;"",Tolerances!AA19,"")</f>
        <v/>
      </c>
      <c r="T16" t="str">
        <f>IF(D16&lt;&gt;"",Tolerances!AL19,"")</f>
        <v/>
      </c>
      <c r="U16" s="3">
        <f t="shared" si="2"/>
        <v>0</v>
      </c>
    </row>
    <row r="17" spans="2:21" x14ac:dyDescent="0.25">
      <c r="B17" s="69" t="s">
        <v>1</v>
      </c>
      <c r="C17" s="69"/>
      <c r="D17" s="89" t="str">
        <f>IF(C17&lt;&gt;"",C17,IF(HLOOKUP($F$4,Templates!$C$4:$V$124,Templates!B16+1,FALSE)=0,"",HLOOKUP($F$4,Templates!$C$4:$V$124,Templates!B16+1,FALSE)))</f>
        <v/>
      </c>
      <c r="E17" s="21"/>
      <c r="F17" s="21"/>
      <c r="G17" s="21"/>
      <c r="H17" s="25"/>
      <c r="I17" s="15" t="str">
        <f t="shared" si="1"/>
        <v/>
      </c>
      <c r="J17" s="91" t="s">
        <v>21</v>
      </c>
      <c r="K17" s="92"/>
      <c r="R17" s="60" t="str">
        <f t="shared" si="0"/>
        <v/>
      </c>
      <c r="S17" t="str">
        <f>IF(D17&lt;&gt;"",Tolerances!AA20,"")</f>
        <v/>
      </c>
      <c r="T17" t="str">
        <f>IF(D17&lt;&gt;"",Tolerances!AL20,"")</f>
        <v/>
      </c>
      <c r="U17" s="3">
        <f t="shared" si="2"/>
        <v>0</v>
      </c>
    </row>
    <row r="18" spans="2:21" x14ac:dyDescent="0.25">
      <c r="B18" s="69" t="s">
        <v>1</v>
      </c>
      <c r="C18" s="69"/>
      <c r="D18" s="89" t="str">
        <f>IF(C18&lt;&gt;"",C18,IF(HLOOKUP($F$4,Templates!$C$4:$V$124,Templates!B17+1,FALSE)=0,"",HLOOKUP($F$4,Templates!$C$4:$V$124,Templates!B17+1,FALSE)))</f>
        <v/>
      </c>
      <c r="E18" s="21"/>
      <c r="F18" s="21"/>
      <c r="G18" s="21"/>
      <c r="H18" s="25"/>
      <c r="I18" s="15" t="str">
        <f t="shared" si="1"/>
        <v/>
      </c>
      <c r="J18" s="91" t="s">
        <v>21</v>
      </c>
      <c r="K18" s="92"/>
      <c r="R18" s="60" t="str">
        <f t="shared" si="0"/>
        <v/>
      </c>
      <c r="S18" t="str">
        <f>IF(D18&lt;&gt;"",Tolerances!AA21,"")</f>
        <v/>
      </c>
      <c r="T18" t="str">
        <f>IF(D18&lt;&gt;"",Tolerances!AL21,"")</f>
        <v/>
      </c>
      <c r="U18" s="3">
        <f t="shared" si="2"/>
        <v>0</v>
      </c>
    </row>
    <row r="19" spans="2:21" x14ac:dyDescent="0.25">
      <c r="B19" s="69"/>
      <c r="C19" s="69"/>
      <c r="D19" s="89" t="str">
        <f>IF(C19&lt;&gt;"",C19,IF(HLOOKUP($F$4,Templates!$C$4:$V$124,Templates!B18+1,FALSE)=0,"",HLOOKUP($F$4,Templates!$C$4:$V$124,Templates!B18+1,FALSE)))</f>
        <v/>
      </c>
      <c r="E19" s="21"/>
      <c r="F19" s="21"/>
      <c r="G19" s="21"/>
      <c r="H19" s="25"/>
      <c r="I19" s="15" t="str">
        <f t="shared" si="1"/>
        <v/>
      </c>
      <c r="J19" s="91" t="s">
        <v>21</v>
      </c>
      <c r="K19" s="92"/>
      <c r="R19" s="60" t="str">
        <f t="shared" si="0"/>
        <v/>
      </c>
      <c r="S19" t="str">
        <f>IF(D19&lt;&gt;"",Tolerances!AA22,"")</f>
        <v/>
      </c>
      <c r="T19" t="str">
        <f>IF(D19&lt;&gt;"",Tolerances!AL22,"")</f>
        <v/>
      </c>
      <c r="U19" s="3">
        <f t="shared" si="2"/>
        <v>0</v>
      </c>
    </row>
    <row r="20" spans="2:21" x14ac:dyDescent="0.25">
      <c r="B20" s="69"/>
      <c r="C20" s="69"/>
      <c r="D20" s="89" t="str">
        <f>IF(C20&lt;&gt;"",C20,IF(HLOOKUP($F$4,Templates!$C$4:$V$124,Templates!B19+1,FALSE)=0,"",HLOOKUP($F$4,Templates!$C$4:$V$124,Templates!B19+1,FALSE)))</f>
        <v/>
      </c>
      <c r="E20" s="21"/>
      <c r="F20" s="21"/>
      <c r="G20" s="21"/>
      <c r="H20" s="25"/>
      <c r="I20" s="15" t="str">
        <f t="shared" si="1"/>
        <v/>
      </c>
      <c r="J20" s="91" t="s">
        <v>21</v>
      </c>
      <c r="K20" s="92"/>
      <c r="R20" s="60" t="str">
        <f t="shared" si="0"/>
        <v/>
      </c>
      <c r="S20" t="str">
        <f>IF(D20&lt;&gt;"",Tolerances!AA23,"")</f>
        <v/>
      </c>
      <c r="T20" t="str">
        <f>IF(D20&lt;&gt;"",Tolerances!AL23,"")</f>
        <v/>
      </c>
      <c r="U20" s="3">
        <f t="shared" si="2"/>
        <v>0</v>
      </c>
    </row>
    <row r="21" spans="2:21" x14ac:dyDescent="0.25">
      <c r="B21" s="69"/>
      <c r="C21" s="69"/>
      <c r="D21" s="89" t="str">
        <f>IF(C21&lt;&gt;"",C21,IF(HLOOKUP($F$4,Templates!$C$4:$V$124,Templates!B20+1,FALSE)=0,"",HLOOKUP($F$4,Templates!$C$4:$V$124,Templates!B20+1,FALSE)))</f>
        <v/>
      </c>
      <c r="E21" s="21"/>
      <c r="F21" s="21"/>
      <c r="G21" s="21"/>
      <c r="H21" s="25"/>
      <c r="I21" s="15" t="str">
        <f t="shared" si="1"/>
        <v/>
      </c>
      <c r="J21" s="91" t="s">
        <v>21</v>
      </c>
      <c r="K21" s="92"/>
      <c r="R21" s="60" t="str">
        <f t="shared" si="0"/>
        <v/>
      </c>
      <c r="S21" t="str">
        <f>IF(D21&lt;&gt;"",Tolerances!AA24,"")</f>
        <v/>
      </c>
      <c r="T21" t="str">
        <f>IF(D21&lt;&gt;"",Tolerances!AL24,"")</f>
        <v/>
      </c>
      <c r="U21" s="3">
        <f t="shared" si="2"/>
        <v>0</v>
      </c>
    </row>
    <row r="22" spans="2:21" x14ac:dyDescent="0.25">
      <c r="B22" s="69"/>
      <c r="C22" s="69"/>
      <c r="D22" s="89" t="str">
        <f>IF(C22&lt;&gt;"",C22,IF(HLOOKUP($F$4,Templates!$C$4:$V$124,Templates!B21+1,FALSE)=0,"",HLOOKUP($F$4,Templates!$C$4:$V$124,Templates!B21+1,FALSE)))</f>
        <v/>
      </c>
      <c r="E22" s="21"/>
      <c r="F22" s="22"/>
      <c r="G22" s="22"/>
      <c r="H22" s="25"/>
      <c r="I22" s="15" t="str">
        <f t="shared" si="1"/>
        <v/>
      </c>
      <c r="J22" s="91" t="s">
        <v>21</v>
      </c>
      <c r="K22" s="92"/>
      <c r="R22" s="60" t="str">
        <f t="shared" si="0"/>
        <v/>
      </c>
      <c r="S22" t="str">
        <f>IF(D22&lt;&gt;"",Tolerances!AA25,"")</f>
        <v/>
      </c>
      <c r="T22" t="str">
        <f>IF(D22&lt;&gt;"",Tolerances!AL25,"")</f>
        <v/>
      </c>
      <c r="U22" s="3">
        <f t="shared" si="2"/>
        <v>0</v>
      </c>
    </row>
    <row r="23" spans="2:21" x14ac:dyDescent="0.25">
      <c r="B23" s="69"/>
      <c r="C23" s="69"/>
      <c r="D23" s="89" t="str">
        <f>IF(C23&lt;&gt;"",C23,IF(HLOOKUP($F$4,Templates!$C$4:$V$124,Templates!B22+1,FALSE)=0,"",HLOOKUP($F$4,Templates!$C$4:$V$124,Templates!B22+1,FALSE)))</f>
        <v/>
      </c>
      <c r="E23" s="21"/>
      <c r="F23" s="22"/>
      <c r="G23" s="22"/>
      <c r="H23" s="25"/>
      <c r="I23" s="15" t="str">
        <f t="shared" si="1"/>
        <v/>
      </c>
      <c r="J23" s="91" t="s">
        <v>21</v>
      </c>
      <c r="K23" s="92"/>
      <c r="R23" s="60" t="str">
        <f t="shared" si="0"/>
        <v/>
      </c>
      <c r="S23" t="str">
        <f>IF(D23&lt;&gt;"",Tolerances!AA26,"")</f>
        <v/>
      </c>
      <c r="T23" t="str">
        <f>IF(D23&lt;&gt;"",Tolerances!AL26,"")</f>
        <v/>
      </c>
      <c r="U23" s="3">
        <f t="shared" si="2"/>
        <v>0</v>
      </c>
    </row>
    <row r="24" spans="2:21" x14ac:dyDescent="0.25">
      <c r="B24" s="69"/>
      <c r="C24" s="69"/>
      <c r="D24" s="89" t="str">
        <f>IF(C24&lt;&gt;"",C24,IF(HLOOKUP($F$4,Templates!$C$4:$V$124,Templates!B23+1,FALSE)=0,"",HLOOKUP($F$4,Templates!$C$4:$V$124,Templates!B23+1,FALSE)))</f>
        <v/>
      </c>
      <c r="E24" s="21"/>
      <c r="F24" s="22"/>
      <c r="G24" s="22"/>
      <c r="H24" s="25"/>
      <c r="I24" s="15" t="str">
        <f t="shared" si="1"/>
        <v/>
      </c>
      <c r="J24" s="91" t="s">
        <v>21</v>
      </c>
      <c r="K24" s="92"/>
      <c r="R24" s="60" t="str">
        <f t="shared" si="0"/>
        <v/>
      </c>
      <c r="S24" t="str">
        <f>IF(D24&lt;&gt;"",Tolerances!AA27,"")</f>
        <v/>
      </c>
      <c r="T24" t="str">
        <f>IF(D24&lt;&gt;"",Tolerances!AL27,"")</f>
        <v/>
      </c>
      <c r="U24" s="3">
        <f t="shared" si="2"/>
        <v>0</v>
      </c>
    </row>
    <row r="25" spans="2:21" x14ac:dyDescent="0.25">
      <c r="B25" s="69"/>
      <c r="C25" s="69"/>
      <c r="D25" s="89" t="str">
        <f>IF(C25&lt;&gt;"",C25,IF(HLOOKUP($F$4,Templates!$C$4:$V$124,Templates!B24+1,FALSE)=0,"",HLOOKUP($F$4,Templates!$C$4:$V$124,Templates!B24+1,FALSE)))</f>
        <v/>
      </c>
      <c r="E25" s="21"/>
      <c r="F25" s="22"/>
      <c r="G25" s="22"/>
      <c r="H25" s="25"/>
      <c r="I25" s="15" t="str">
        <f t="shared" si="1"/>
        <v/>
      </c>
      <c r="J25" s="91" t="s">
        <v>21</v>
      </c>
      <c r="K25" s="92"/>
      <c r="R25" s="60" t="str">
        <f t="shared" si="0"/>
        <v/>
      </c>
      <c r="S25" t="str">
        <f>IF(D25&lt;&gt;"",Tolerances!AA28,"")</f>
        <v/>
      </c>
      <c r="T25" t="str">
        <f>IF(D25&lt;&gt;"",Tolerances!AL28,"")</f>
        <v/>
      </c>
      <c r="U25" s="3">
        <f t="shared" si="2"/>
        <v>0</v>
      </c>
    </row>
    <row r="26" spans="2:21" x14ac:dyDescent="0.25">
      <c r="B26" s="69"/>
      <c r="C26" s="69"/>
      <c r="D26" s="89" t="str">
        <f>IF(C26&lt;&gt;"",C26,IF(HLOOKUP($F$4,Templates!$C$4:$V$124,Templates!B25+1,FALSE)=0,"",HLOOKUP($F$4,Templates!$C$4:$V$124,Templates!B25+1,FALSE)))</f>
        <v/>
      </c>
      <c r="E26" s="21"/>
      <c r="F26" s="22"/>
      <c r="G26" s="22"/>
      <c r="H26" s="25"/>
      <c r="I26" s="15" t="str">
        <f t="shared" si="1"/>
        <v/>
      </c>
      <c r="J26" s="91" t="s">
        <v>21</v>
      </c>
      <c r="K26" s="92"/>
      <c r="R26" s="60" t="str">
        <f t="shared" si="0"/>
        <v/>
      </c>
      <c r="S26" t="str">
        <f>IF(D26&lt;&gt;"",Tolerances!AA29,"")</f>
        <v/>
      </c>
      <c r="T26" t="str">
        <f>IF(D26&lt;&gt;"",Tolerances!AL29,"")</f>
        <v/>
      </c>
      <c r="U26" s="3">
        <f t="shared" si="2"/>
        <v>0</v>
      </c>
    </row>
    <row r="27" spans="2:21" x14ac:dyDescent="0.25">
      <c r="B27" s="69"/>
      <c r="C27" s="69"/>
      <c r="D27" s="89" t="str">
        <f>IF(C27&lt;&gt;"",C27,IF(HLOOKUP($F$4,Templates!$C$4:$V$124,Templates!B26+1,FALSE)=0,"",HLOOKUP($F$4,Templates!$C$4:$V$124,Templates!B26+1,FALSE)))</f>
        <v/>
      </c>
      <c r="E27" s="21"/>
      <c r="F27" s="22"/>
      <c r="G27" s="22"/>
      <c r="H27" s="25"/>
      <c r="I27" s="15" t="str">
        <f t="shared" si="1"/>
        <v/>
      </c>
      <c r="J27" s="91" t="s">
        <v>21</v>
      </c>
      <c r="K27" s="92"/>
      <c r="R27" s="60" t="str">
        <f t="shared" si="0"/>
        <v/>
      </c>
      <c r="S27" t="str">
        <f>IF(D27&lt;&gt;"",Tolerances!AA30,"")</f>
        <v/>
      </c>
      <c r="T27" t="str">
        <f>IF(D27&lt;&gt;"",Tolerances!AL30,"")</f>
        <v/>
      </c>
      <c r="U27" s="3">
        <f t="shared" si="2"/>
        <v>0</v>
      </c>
    </row>
    <row r="28" spans="2:21" x14ac:dyDescent="0.25">
      <c r="B28" s="69"/>
      <c r="C28" s="69"/>
      <c r="D28" s="89" t="str">
        <f>IF(C28&lt;&gt;"",C28,IF(HLOOKUP($F$4,Templates!$C$4:$V$124,Templates!B27+1,FALSE)=0,"",HLOOKUP($F$4,Templates!$C$4:$V$124,Templates!B27+1,FALSE)))</f>
        <v/>
      </c>
      <c r="E28" s="21"/>
      <c r="F28" s="22"/>
      <c r="G28" s="22"/>
      <c r="H28" s="25"/>
      <c r="I28" s="15" t="str">
        <f t="shared" si="1"/>
        <v/>
      </c>
      <c r="J28" s="91" t="s">
        <v>21</v>
      </c>
      <c r="K28" s="92"/>
      <c r="R28" s="60" t="str">
        <f t="shared" si="0"/>
        <v/>
      </c>
      <c r="S28" t="str">
        <f>IF(D28&lt;&gt;"",Tolerances!AA31,"")</f>
        <v/>
      </c>
      <c r="T28" t="str">
        <f>IF(D28&lt;&gt;"",Tolerances!AL31,"")</f>
        <v/>
      </c>
      <c r="U28" s="3">
        <f t="shared" si="2"/>
        <v>0</v>
      </c>
    </row>
    <row r="29" spans="2:21" x14ac:dyDescent="0.25">
      <c r="B29" s="69"/>
      <c r="C29" s="69"/>
      <c r="D29" s="89" t="str">
        <f>IF(C29&lt;&gt;"",C29,IF(HLOOKUP($F$4,Templates!$C$4:$V$124,Templates!B28+1,FALSE)=0,"",HLOOKUP($F$4,Templates!$C$4:$V$124,Templates!B28+1,FALSE)))</f>
        <v/>
      </c>
      <c r="E29" s="21"/>
      <c r="F29" s="22"/>
      <c r="G29" s="22"/>
      <c r="H29" s="25"/>
      <c r="I29" s="15" t="str">
        <f t="shared" si="1"/>
        <v/>
      </c>
      <c r="J29" s="91" t="s">
        <v>21</v>
      </c>
      <c r="K29" s="92"/>
      <c r="R29" s="60" t="str">
        <f t="shared" si="0"/>
        <v/>
      </c>
      <c r="S29" t="str">
        <f>IF(D29&lt;&gt;"",Tolerances!AA32,"")</f>
        <v/>
      </c>
      <c r="T29" t="str">
        <f>IF(D29&lt;&gt;"",Tolerances!AL32,"")</f>
        <v/>
      </c>
      <c r="U29" s="3">
        <f t="shared" si="2"/>
        <v>0</v>
      </c>
    </row>
    <row r="30" spans="2:21" x14ac:dyDescent="0.25">
      <c r="B30" s="69"/>
      <c r="C30" s="69"/>
      <c r="D30" s="89" t="str">
        <f>IF(C30&lt;&gt;"",C30,IF(HLOOKUP($F$4,Templates!$C$4:$V$124,Templates!B29+1,FALSE)=0,"",HLOOKUP($F$4,Templates!$C$4:$V$124,Templates!B29+1,FALSE)))</f>
        <v/>
      </c>
      <c r="E30" s="21"/>
      <c r="F30" s="22"/>
      <c r="G30" s="22"/>
      <c r="H30" s="25"/>
      <c r="I30" s="15" t="str">
        <f t="shared" si="1"/>
        <v/>
      </c>
      <c r="J30" s="91" t="s">
        <v>21</v>
      </c>
      <c r="K30" s="92"/>
      <c r="R30" s="60" t="str">
        <f t="shared" si="0"/>
        <v/>
      </c>
      <c r="S30" t="str">
        <f>IF(D30&lt;&gt;"",Tolerances!AA33,"")</f>
        <v/>
      </c>
      <c r="T30" t="str">
        <f>IF(D30&lt;&gt;"",Tolerances!AL33,"")</f>
        <v/>
      </c>
      <c r="U30" s="3">
        <f t="shared" si="2"/>
        <v>0</v>
      </c>
    </row>
    <row r="31" spans="2:21" x14ac:dyDescent="0.25">
      <c r="B31" s="69"/>
      <c r="C31" s="69"/>
      <c r="D31" s="89" t="str">
        <f>IF(C31&lt;&gt;"",C31,IF(HLOOKUP($F$4,Templates!$C$4:$V$124,Templates!B30+1,FALSE)=0,"",HLOOKUP($F$4,Templates!$C$4:$V$124,Templates!B30+1,FALSE)))</f>
        <v/>
      </c>
      <c r="E31" s="21"/>
      <c r="F31" s="22"/>
      <c r="G31" s="22"/>
      <c r="H31" s="25"/>
      <c r="I31" s="15" t="str">
        <f t="shared" si="1"/>
        <v/>
      </c>
      <c r="J31" s="91" t="s">
        <v>21</v>
      </c>
      <c r="K31" s="92"/>
      <c r="R31" s="60" t="str">
        <f t="shared" si="0"/>
        <v/>
      </c>
      <c r="S31" t="str">
        <f>IF(D31&lt;&gt;"",Tolerances!AA34,"")</f>
        <v/>
      </c>
      <c r="T31" t="str">
        <f>IF(D31&lt;&gt;"",Tolerances!AL34,"")</f>
        <v/>
      </c>
      <c r="U31" s="3">
        <f t="shared" si="2"/>
        <v>0</v>
      </c>
    </row>
    <row r="32" spans="2:21" x14ac:dyDescent="0.25">
      <c r="B32" s="69"/>
      <c r="C32" s="69"/>
      <c r="D32" s="89" t="str">
        <f>IF(C32&lt;&gt;"",C32,IF(HLOOKUP($F$4,Templates!$C$4:$V$124,Templates!B31+1,FALSE)=0,"",HLOOKUP($F$4,Templates!$C$4:$V$124,Templates!B31+1,FALSE)))</f>
        <v/>
      </c>
      <c r="E32" s="21"/>
      <c r="F32" s="22"/>
      <c r="G32" s="22"/>
      <c r="H32" s="25"/>
      <c r="I32" s="15" t="str">
        <f t="shared" si="1"/>
        <v/>
      </c>
      <c r="J32" s="91" t="s">
        <v>21</v>
      </c>
      <c r="K32" s="92"/>
      <c r="R32" s="60" t="str">
        <f t="shared" si="0"/>
        <v/>
      </c>
      <c r="S32" t="str">
        <f>IF(D32&lt;&gt;"",Tolerances!AA35,"")</f>
        <v/>
      </c>
      <c r="T32" t="str">
        <f>IF(D32&lt;&gt;"",Tolerances!AL35,"")</f>
        <v/>
      </c>
      <c r="U32" s="3">
        <f t="shared" si="2"/>
        <v>0</v>
      </c>
    </row>
    <row r="33" spans="2:21" x14ac:dyDescent="0.25">
      <c r="B33" s="69"/>
      <c r="C33" s="69"/>
      <c r="D33" s="89" t="str">
        <f>IF(C33&lt;&gt;"",C33,IF(HLOOKUP($F$4,Templates!$C$4:$V$124,Templates!B32+1,FALSE)=0,"",HLOOKUP($F$4,Templates!$C$4:$V$124,Templates!B32+1,FALSE)))</f>
        <v/>
      </c>
      <c r="E33" s="21"/>
      <c r="F33" s="22"/>
      <c r="G33" s="22"/>
      <c r="H33" s="25"/>
      <c r="I33" s="15" t="str">
        <f t="shared" si="1"/>
        <v/>
      </c>
      <c r="J33" s="91" t="s">
        <v>21</v>
      </c>
      <c r="K33" s="92"/>
      <c r="R33" s="60" t="str">
        <f t="shared" si="0"/>
        <v/>
      </c>
      <c r="S33" t="str">
        <f>IF(D33&lt;&gt;"",Tolerances!AA36,"")</f>
        <v/>
      </c>
      <c r="T33" t="str">
        <f>IF(D33&lt;&gt;"",Tolerances!AL36,"")</f>
        <v/>
      </c>
      <c r="U33" s="3">
        <f t="shared" si="2"/>
        <v>0</v>
      </c>
    </row>
    <row r="34" spans="2:21" x14ac:dyDescent="0.25">
      <c r="B34" s="69"/>
      <c r="C34" s="69"/>
      <c r="D34" s="89" t="str">
        <f>IF(C34&lt;&gt;"",C34,IF(HLOOKUP($F$4,Templates!$C$4:$V$124,Templates!B33+1,FALSE)=0,"",HLOOKUP($F$4,Templates!$C$4:$V$124,Templates!B33+1,FALSE)))</f>
        <v/>
      </c>
      <c r="E34" s="21"/>
      <c r="F34" s="22"/>
      <c r="G34" s="22"/>
      <c r="H34" s="25"/>
      <c r="I34" s="15" t="str">
        <f t="shared" si="1"/>
        <v/>
      </c>
      <c r="J34" s="91" t="s">
        <v>21</v>
      </c>
      <c r="K34" s="92"/>
      <c r="R34" s="60" t="str">
        <f t="shared" si="0"/>
        <v/>
      </c>
      <c r="S34" t="str">
        <f>IF(D34&lt;&gt;"",Tolerances!AA37,"")</f>
        <v/>
      </c>
      <c r="T34" t="str">
        <f>IF(D34&lt;&gt;"",Tolerances!AL37,"")</f>
        <v/>
      </c>
      <c r="U34" s="3">
        <f t="shared" si="2"/>
        <v>0</v>
      </c>
    </row>
    <row r="35" spans="2:21" x14ac:dyDescent="0.25">
      <c r="B35" s="69"/>
      <c r="C35" s="69"/>
      <c r="D35" s="89" t="str">
        <f>IF(C35&lt;&gt;"",C35,IF(HLOOKUP($F$4,Templates!$C$4:$V$124,Templates!B34+1,FALSE)=0,"",HLOOKUP($F$4,Templates!$C$4:$V$124,Templates!B34+1,FALSE)))</f>
        <v/>
      </c>
      <c r="E35" s="21"/>
      <c r="F35" s="22"/>
      <c r="G35" s="22"/>
      <c r="H35" s="25"/>
      <c r="I35" s="15" t="str">
        <f t="shared" si="1"/>
        <v/>
      </c>
      <c r="J35" s="91" t="s">
        <v>21</v>
      </c>
      <c r="K35" s="92"/>
      <c r="R35" s="60" t="str">
        <f t="shared" si="0"/>
        <v/>
      </c>
      <c r="S35" t="str">
        <f>IF(D35&lt;&gt;"",Tolerances!AA38,"")</f>
        <v/>
      </c>
      <c r="T35" t="str">
        <f>IF(D35&lt;&gt;"",Tolerances!AL38,"")</f>
        <v/>
      </c>
      <c r="U35" s="3">
        <f t="shared" si="2"/>
        <v>0</v>
      </c>
    </row>
    <row r="36" spans="2:21" x14ac:dyDescent="0.25">
      <c r="B36" s="69"/>
      <c r="C36" s="69"/>
      <c r="D36" s="89" t="str">
        <f>IF(C36&lt;&gt;"",C36,IF(HLOOKUP($F$4,Templates!$C$4:$V$124,Templates!B35+1,FALSE)=0,"",HLOOKUP($F$4,Templates!$C$4:$V$124,Templates!B35+1,FALSE)))</f>
        <v/>
      </c>
      <c r="E36" s="21"/>
      <c r="F36" s="22"/>
      <c r="G36" s="22"/>
      <c r="H36" s="25"/>
      <c r="I36" s="15" t="str">
        <f t="shared" si="1"/>
        <v/>
      </c>
      <c r="J36" s="91" t="s">
        <v>21</v>
      </c>
      <c r="K36" s="92"/>
      <c r="R36" s="60" t="str">
        <f t="shared" si="0"/>
        <v/>
      </c>
      <c r="S36" t="str">
        <f>IF(D36&lt;&gt;"",Tolerances!AA39,"")</f>
        <v/>
      </c>
      <c r="T36" t="str">
        <f>IF(D36&lt;&gt;"",Tolerances!AL39,"")</f>
        <v/>
      </c>
      <c r="U36" s="3">
        <f t="shared" si="2"/>
        <v>0</v>
      </c>
    </row>
    <row r="37" spans="2:21" x14ac:dyDescent="0.25">
      <c r="B37" s="69"/>
      <c r="C37" s="69"/>
      <c r="D37" s="89" t="str">
        <f>IF(C37&lt;&gt;"",C37,IF(HLOOKUP($F$4,Templates!$C$4:$V$124,Templates!B36+1,FALSE)=0,"",HLOOKUP($F$4,Templates!$C$4:$V$124,Templates!B36+1,FALSE)))</f>
        <v/>
      </c>
      <c r="E37" s="21"/>
      <c r="F37" s="22"/>
      <c r="G37" s="22"/>
      <c r="H37" s="25"/>
      <c r="I37" s="15" t="str">
        <f t="shared" si="1"/>
        <v/>
      </c>
      <c r="J37" s="91" t="s">
        <v>21</v>
      </c>
      <c r="K37" s="92"/>
      <c r="R37" s="60" t="str">
        <f t="shared" si="0"/>
        <v/>
      </c>
      <c r="S37" t="str">
        <f>IF(D37&lt;&gt;"",Tolerances!AA40,"")</f>
        <v/>
      </c>
      <c r="T37" t="str">
        <f>IF(D37&lt;&gt;"",Tolerances!AL40,"")</f>
        <v/>
      </c>
      <c r="U37" s="3">
        <f t="shared" si="2"/>
        <v>0</v>
      </c>
    </row>
    <row r="38" spans="2:21" x14ac:dyDescent="0.25">
      <c r="B38" s="69"/>
      <c r="C38" s="69"/>
      <c r="D38" s="89" t="str">
        <f>IF(C38&lt;&gt;"",C38,IF(HLOOKUP($F$4,Templates!$C$4:$V$124,Templates!B37+1,FALSE)=0,"",HLOOKUP($F$4,Templates!$C$4:$V$124,Templates!B37+1,FALSE)))</f>
        <v/>
      </c>
      <c r="E38" s="21"/>
      <c r="F38" s="22"/>
      <c r="G38" s="22"/>
      <c r="H38" s="25"/>
      <c r="I38" s="15" t="str">
        <f t="shared" si="1"/>
        <v/>
      </c>
      <c r="J38" s="91" t="s">
        <v>21</v>
      </c>
      <c r="K38" s="92"/>
      <c r="R38" s="60" t="str">
        <f t="shared" si="0"/>
        <v/>
      </c>
      <c r="S38" t="str">
        <f>IF(D38&lt;&gt;"",Tolerances!AA41,"")</f>
        <v/>
      </c>
      <c r="T38" t="str">
        <f>IF(D38&lt;&gt;"",Tolerances!AL41,"")</f>
        <v/>
      </c>
      <c r="U38" s="3">
        <f t="shared" si="2"/>
        <v>0</v>
      </c>
    </row>
    <row r="39" spans="2:21" x14ac:dyDescent="0.25">
      <c r="B39" s="69"/>
      <c r="C39" s="69"/>
      <c r="D39" s="89" t="str">
        <f>IF(C39&lt;&gt;"",C39,IF(HLOOKUP($F$4,Templates!$C$4:$V$124,Templates!B38+1,FALSE)=0,"",HLOOKUP($F$4,Templates!$C$4:$V$124,Templates!B38+1,FALSE)))</f>
        <v/>
      </c>
      <c r="E39" s="21"/>
      <c r="F39" s="22"/>
      <c r="G39" s="22"/>
      <c r="H39" s="25"/>
      <c r="I39" s="15" t="str">
        <f t="shared" si="1"/>
        <v/>
      </c>
      <c r="J39" s="91" t="s">
        <v>21</v>
      </c>
      <c r="K39" s="92"/>
      <c r="R39" s="60" t="str">
        <f t="shared" si="0"/>
        <v/>
      </c>
      <c r="S39" t="str">
        <f>IF(D39&lt;&gt;"",Tolerances!AA42,"")</f>
        <v/>
      </c>
      <c r="T39" t="str">
        <f>IF(D39&lt;&gt;"",Tolerances!AL42,"")</f>
        <v/>
      </c>
      <c r="U39" s="3">
        <f t="shared" si="2"/>
        <v>0</v>
      </c>
    </row>
    <row r="40" spans="2:21" x14ac:dyDescent="0.25">
      <c r="B40" s="69"/>
      <c r="C40" s="69"/>
      <c r="D40" s="89" t="str">
        <f>IF(C40&lt;&gt;"",C40,IF(HLOOKUP($F$4,Templates!$C$4:$V$124,Templates!B39+1,FALSE)=0,"",HLOOKUP($F$4,Templates!$C$4:$V$124,Templates!B39+1,FALSE)))</f>
        <v/>
      </c>
      <c r="E40" s="21"/>
      <c r="F40" s="22"/>
      <c r="G40" s="22"/>
      <c r="H40" s="25"/>
      <c r="I40" s="15" t="str">
        <f t="shared" si="1"/>
        <v/>
      </c>
      <c r="J40" s="91" t="s">
        <v>21</v>
      </c>
      <c r="K40" s="92"/>
      <c r="R40" s="60" t="str">
        <f t="shared" si="0"/>
        <v/>
      </c>
      <c r="S40" t="str">
        <f>IF(D40&lt;&gt;"",Tolerances!AA43,"")</f>
        <v/>
      </c>
      <c r="T40" t="str">
        <f>IF(D40&lt;&gt;"",Tolerances!AL43,"")</f>
        <v/>
      </c>
      <c r="U40" s="3">
        <f t="shared" si="2"/>
        <v>0</v>
      </c>
    </row>
    <row r="41" spans="2:21" x14ac:dyDescent="0.25">
      <c r="B41" s="69"/>
      <c r="C41" s="69"/>
      <c r="D41" s="89" t="str">
        <f>IF(C41&lt;&gt;"",C41,IF(HLOOKUP($F$4,Templates!$C$4:$V$124,Templates!B40+1,FALSE)=0,"",HLOOKUP($F$4,Templates!$C$4:$V$124,Templates!B40+1,FALSE)))</f>
        <v/>
      </c>
      <c r="E41" s="21"/>
      <c r="F41" s="22"/>
      <c r="G41" s="22"/>
      <c r="H41" s="25"/>
      <c r="I41" s="15" t="str">
        <f t="shared" si="1"/>
        <v/>
      </c>
      <c r="J41" s="91" t="s">
        <v>21</v>
      </c>
      <c r="K41" s="92"/>
      <c r="R41" s="60" t="str">
        <f t="shared" si="0"/>
        <v/>
      </c>
      <c r="S41" t="str">
        <f>IF(D41&lt;&gt;"",Tolerances!AA44,"")</f>
        <v/>
      </c>
      <c r="T41" t="str">
        <f>IF(D41&lt;&gt;"",Tolerances!AL44,"")</f>
        <v/>
      </c>
      <c r="U41" s="3">
        <f t="shared" si="2"/>
        <v>0</v>
      </c>
    </row>
    <row r="42" spans="2:21" x14ac:dyDescent="0.25">
      <c r="B42" s="69"/>
      <c r="C42" s="69"/>
      <c r="D42" s="89" t="str">
        <f>IF(C42&lt;&gt;"",C42,IF(HLOOKUP($F$4,Templates!$C$4:$V$124,Templates!B41+1,FALSE)=0,"",HLOOKUP($F$4,Templates!$C$4:$V$124,Templates!B41+1,FALSE)))</f>
        <v/>
      </c>
      <c r="E42" s="21"/>
      <c r="F42" s="22"/>
      <c r="G42" s="22"/>
      <c r="H42" s="25"/>
      <c r="I42" s="15" t="str">
        <f t="shared" si="1"/>
        <v/>
      </c>
      <c r="J42" s="91" t="s">
        <v>21</v>
      </c>
      <c r="K42" s="92"/>
      <c r="R42" s="60" t="str">
        <f t="shared" si="0"/>
        <v/>
      </c>
      <c r="S42" t="str">
        <f>IF(D42&lt;&gt;"",Tolerances!AA45,"")</f>
        <v/>
      </c>
      <c r="T42" t="str">
        <f>IF(D42&lt;&gt;"",Tolerances!AL45,"")</f>
        <v/>
      </c>
      <c r="U42" s="3">
        <f t="shared" si="2"/>
        <v>0</v>
      </c>
    </row>
    <row r="43" spans="2:21" x14ac:dyDescent="0.25">
      <c r="B43" s="69"/>
      <c r="C43" s="69"/>
      <c r="D43" s="89" t="str">
        <f>IF(C43&lt;&gt;"",C43,IF(HLOOKUP($F$4,Templates!$C$4:$V$124,Templates!B42+1,FALSE)=0,"",HLOOKUP($F$4,Templates!$C$4:$V$124,Templates!B42+1,FALSE)))</f>
        <v/>
      </c>
      <c r="E43" s="21"/>
      <c r="F43" s="22"/>
      <c r="G43" s="22"/>
      <c r="H43" s="25"/>
      <c r="I43" s="15" t="str">
        <f t="shared" si="1"/>
        <v/>
      </c>
      <c r="J43" s="91" t="s">
        <v>21</v>
      </c>
      <c r="K43" s="92"/>
      <c r="R43" s="60" t="str">
        <f t="shared" ref="R43:R70" si="3">IF(ISERROR(VALUE(D43)),"",VALUE(D43))</f>
        <v/>
      </c>
      <c r="S43" t="str">
        <f>IF(D43&lt;&gt;"",Tolerances!AA46,"")</f>
        <v/>
      </c>
      <c r="T43" t="str">
        <f>IF(D43&lt;&gt;"",Tolerances!AL46,"")</f>
        <v/>
      </c>
      <c r="U43" s="3">
        <f t="shared" si="2"/>
        <v>0</v>
      </c>
    </row>
    <row r="44" spans="2:21" x14ac:dyDescent="0.25">
      <c r="B44" s="69"/>
      <c r="C44" s="69"/>
      <c r="D44" s="89" t="str">
        <f>IF(C44&lt;&gt;"",C44,IF(HLOOKUP($F$4,Templates!$C$4:$V$124,Templates!B43+1,FALSE)=0,"",HLOOKUP($F$4,Templates!$C$4:$V$124,Templates!B43+1,FALSE)))</f>
        <v/>
      </c>
      <c r="E44" s="21"/>
      <c r="F44" s="22"/>
      <c r="G44" s="22"/>
      <c r="H44" s="25"/>
      <c r="I44" s="15" t="str">
        <f t="shared" si="1"/>
        <v/>
      </c>
      <c r="J44" s="91" t="s">
        <v>21</v>
      </c>
      <c r="K44" s="92"/>
      <c r="R44" s="60" t="str">
        <f t="shared" si="3"/>
        <v/>
      </c>
      <c r="S44" t="str">
        <f>IF(D44&lt;&gt;"",Tolerances!AA47,"")</f>
        <v/>
      </c>
      <c r="T44" t="str">
        <f>IF(D44&lt;&gt;"",Tolerances!AL47,"")</f>
        <v/>
      </c>
      <c r="U44" s="3">
        <f t="shared" si="2"/>
        <v>0</v>
      </c>
    </row>
    <row r="45" spans="2:21" x14ac:dyDescent="0.25">
      <c r="B45" s="70"/>
      <c r="C45" s="70"/>
      <c r="D45" s="89" t="str">
        <f>IF(C45&lt;&gt;"",C45,IF(HLOOKUP($F$4,Templates!$C$4:$V$124,Templates!B44+1,FALSE)=0,"",HLOOKUP($F$4,Templates!$C$4:$V$124,Templates!B44+1,FALSE)))</f>
        <v/>
      </c>
      <c r="E45" s="21"/>
      <c r="F45" s="22"/>
      <c r="G45" s="22"/>
      <c r="H45" s="25"/>
      <c r="I45" s="15" t="str">
        <f t="shared" si="1"/>
        <v/>
      </c>
      <c r="J45" s="91" t="s">
        <v>21</v>
      </c>
      <c r="K45" s="92"/>
      <c r="R45" s="60" t="str">
        <f t="shared" si="3"/>
        <v/>
      </c>
      <c r="S45" t="str">
        <f>IF(D45&lt;&gt;"",Tolerances!AA48,"")</f>
        <v/>
      </c>
      <c r="T45" t="str">
        <f>IF(D45&lt;&gt;"",Tolerances!AL48,"")</f>
        <v/>
      </c>
      <c r="U45" s="3">
        <f t="shared" si="2"/>
        <v>0</v>
      </c>
    </row>
    <row r="46" spans="2:21" x14ac:dyDescent="0.25">
      <c r="B46" s="53"/>
      <c r="C46" s="86"/>
      <c r="D46" s="5" t="s">
        <v>1</v>
      </c>
      <c r="E46" s="8" t="s">
        <v>22</v>
      </c>
      <c r="F46" s="8"/>
      <c r="G46" s="8"/>
      <c r="H46" s="18"/>
      <c r="I46" s="5"/>
      <c r="J46" s="53"/>
      <c r="K46" s="34" t="s">
        <v>23</v>
      </c>
      <c r="L46" s="6">
        <v>3</v>
      </c>
      <c r="R46" s="60" t="str">
        <f t="shared" si="3"/>
        <v/>
      </c>
      <c r="U46" s="3">
        <f t="shared" si="2"/>
        <v>0</v>
      </c>
    </row>
    <row r="47" spans="2:21" ht="26.25" customHeight="1" x14ac:dyDescent="0.25">
      <c r="B47" s="59" t="s">
        <v>8</v>
      </c>
      <c r="C47" s="87"/>
      <c r="D47" s="4" t="s">
        <v>24</v>
      </c>
      <c r="E47" s="4" t="s">
        <v>25</v>
      </c>
      <c r="F47" s="4" t="s">
        <v>12</v>
      </c>
      <c r="G47" s="4" t="s">
        <v>13</v>
      </c>
      <c r="H47" s="4" t="s">
        <v>14</v>
      </c>
      <c r="I47" s="4" t="s">
        <v>26</v>
      </c>
      <c r="J47" s="93" t="s">
        <v>27</v>
      </c>
      <c r="K47" s="93"/>
      <c r="R47" s="60" t="str">
        <f t="shared" si="3"/>
        <v/>
      </c>
      <c r="S47" t="str">
        <f>S5</f>
        <v>Length Tolerance(±)</v>
      </c>
      <c r="T47" t="str">
        <f>T5</f>
        <v>Parallelism Tolerance (±)</v>
      </c>
      <c r="U47" s="3">
        <f t="shared" si="2"/>
        <v>0</v>
      </c>
    </row>
    <row r="48" spans="2:21" x14ac:dyDescent="0.25">
      <c r="B48" s="68"/>
      <c r="C48" s="69"/>
      <c r="D48" s="89" t="str">
        <f>IF(C48&lt;&gt;"",C48,IF(HLOOKUP($F$4,Templates!$C$4:$V$124,Templates!B44+1,FALSE)=0,"",HLOOKUP($F$4,Templates!$C$4:$V$124,Templates!B45+1,FALSE)))</f>
        <v/>
      </c>
      <c r="E48" s="21"/>
      <c r="F48" s="21"/>
      <c r="G48" s="21"/>
      <c r="H48" s="23"/>
      <c r="I48" s="15" t="str">
        <f t="shared" ref="I48:I90" si="4">IF(AND(E48&lt;&gt;"",F48&lt;&gt;"",G48&lt;&gt;""),ABS((MAX(E48:H48)-MIN(E48:H48))),"")</f>
        <v/>
      </c>
      <c r="J48" s="91" t="s">
        <v>21</v>
      </c>
      <c r="K48" s="92"/>
      <c r="R48" s="60" t="str">
        <f t="shared" si="3"/>
        <v/>
      </c>
      <c r="S48" t="str">
        <f>IF(D48&lt;&gt;"",Tolerances!AA51,"")</f>
        <v/>
      </c>
      <c r="T48" t="str">
        <f>IF(D48&lt;&gt;"",Tolerances!AL51,"")</f>
        <v/>
      </c>
      <c r="U48" s="3">
        <f t="shared" si="2"/>
        <v>0</v>
      </c>
    </row>
    <row r="49" spans="2:21" x14ac:dyDescent="0.25">
      <c r="B49" s="69"/>
      <c r="C49" s="69"/>
      <c r="D49" s="89" t="str">
        <f>IF(C49&lt;&gt;"",C49,IF(HLOOKUP($F$4,Templates!$C$4:$V$124,Templates!B45+1,FALSE)=0,"",HLOOKUP($F$4,Templates!$C$4:$V$124,Templates!B46+1,FALSE)))</f>
        <v/>
      </c>
      <c r="E49" s="21"/>
      <c r="F49" s="21"/>
      <c r="G49" s="21"/>
      <c r="H49" s="25"/>
      <c r="I49" s="15" t="str">
        <f t="shared" si="4"/>
        <v/>
      </c>
      <c r="J49" s="91" t="s">
        <v>21</v>
      </c>
      <c r="K49" s="92"/>
      <c r="R49" s="60" t="str">
        <f t="shared" si="3"/>
        <v/>
      </c>
      <c r="S49" t="str">
        <f>IF(D49&lt;&gt;"",Tolerances!AA52,"")</f>
        <v/>
      </c>
      <c r="T49" t="str">
        <f>IF(D49&lt;&gt;"",Tolerances!AL52,"")</f>
        <v/>
      </c>
      <c r="U49" s="3">
        <f t="shared" si="2"/>
        <v>0</v>
      </c>
    </row>
    <row r="50" spans="2:21" x14ac:dyDescent="0.25">
      <c r="B50" s="69"/>
      <c r="C50" s="69"/>
      <c r="D50" s="89" t="str">
        <f>IF(C50&lt;&gt;"",C50,IF(HLOOKUP($F$4,Templates!$C$4:$V$124,Templates!B46+1,FALSE)=0,"",HLOOKUP($F$4,Templates!$C$4:$V$124,Templates!B47+1,FALSE)))</f>
        <v/>
      </c>
      <c r="E50" s="21"/>
      <c r="F50" s="21"/>
      <c r="G50" s="21"/>
      <c r="H50" s="25"/>
      <c r="I50" s="15" t="str">
        <f t="shared" si="4"/>
        <v/>
      </c>
      <c r="J50" s="91" t="s">
        <v>21</v>
      </c>
      <c r="K50" s="92"/>
      <c r="R50" s="60" t="str">
        <f t="shared" si="3"/>
        <v/>
      </c>
      <c r="S50" t="str">
        <f>IF(D50&lt;&gt;"",Tolerances!AA53,"")</f>
        <v/>
      </c>
      <c r="T50" t="str">
        <f>IF(D50&lt;&gt;"",Tolerances!AL53,"")</f>
        <v/>
      </c>
      <c r="U50" s="3">
        <f t="shared" si="2"/>
        <v>0</v>
      </c>
    </row>
    <row r="51" spans="2:21" x14ac:dyDescent="0.25">
      <c r="B51" s="69"/>
      <c r="C51" s="69"/>
      <c r="D51" s="89" t="str">
        <f>IF(C51&lt;&gt;"",C51,IF(HLOOKUP($F$4,Templates!$C$4:$V$124,Templates!B47+1,FALSE)=0,"",HLOOKUP($F$4,Templates!$C$4:$V$124,Templates!B48+1,FALSE)))</f>
        <v/>
      </c>
      <c r="E51" s="21"/>
      <c r="F51" s="21"/>
      <c r="G51" s="21"/>
      <c r="H51" s="25"/>
      <c r="I51" s="15" t="str">
        <f t="shared" si="4"/>
        <v/>
      </c>
      <c r="J51" s="91" t="s">
        <v>21</v>
      </c>
      <c r="K51" s="92"/>
      <c r="R51" s="60" t="str">
        <f t="shared" si="3"/>
        <v/>
      </c>
      <c r="S51" t="str">
        <f>IF(D51&lt;&gt;"",Tolerances!AA54,"")</f>
        <v/>
      </c>
      <c r="T51" t="str">
        <f>IF(D51&lt;&gt;"",Tolerances!AL54,"")</f>
        <v/>
      </c>
      <c r="U51" s="3">
        <f t="shared" si="2"/>
        <v>0</v>
      </c>
    </row>
    <row r="52" spans="2:21" x14ac:dyDescent="0.25">
      <c r="B52" s="69"/>
      <c r="C52" s="69"/>
      <c r="D52" s="89" t="str">
        <f>IF(C52&lt;&gt;"",C52,IF(HLOOKUP($F$4,Templates!$C$4:$V$124,Templates!B48+1,FALSE)=0,"",HLOOKUP($F$4,Templates!$C$4:$V$124,Templates!B49+1,FALSE)))</f>
        <v/>
      </c>
      <c r="E52" s="21"/>
      <c r="F52" s="21"/>
      <c r="G52" s="21"/>
      <c r="H52" s="25"/>
      <c r="I52" s="15" t="str">
        <f t="shared" si="4"/>
        <v/>
      </c>
      <c r="J52" s="91" t="s">
        <v>21</v>
      </c>
      <c r="K52" s="92"/>
      <c r="R52" s="60" t="str">
        <f t="shared" si="3"/>
        <v/>
      </c>
      <c r="S52" t="str">
        <f>IF(D52&lt;&gt;"",Tolerances!AA55,"")</f>
        <v/>
      </c>
      <c r="T52" t="str">
        <f>IF(D52&lt;&gt;"",Tolerances!AL55,"")</f>
        <v/>
      </c>
      <c r="U52" s="3">
        <f t="shared" si="2"/>
        <v>0</v>
      </c>
    </row>
    <row r="53" spans="2:21" x14ac:dyDescent="0.25">
      <c r="B53" s="69"/>
      <c r="C53" s="69"/>
      <c r="D53" s="89" t="str">
        <f>IF(C53&lt;&gt;"",C53,IF(HLOOKUP($F$4,Templates!$C$4:$V$124,Templates!B49+1,FALSE)=0,"",HLOOKUP($F$4,Templates!$C$4:$V$124,Templates!B50+1,FALSE)))</f>
        <v/>
      </c>
      <c r="E53" s="21"/>
      <c r="F53" s="21"/>
      <c r="G53" s="21"/>
      <c r="H53" s="25"/>
      <c r="I53" s="15" t="str">
        <f t="shared" si="4"/>
        <v/>
      </c>
      <c r="J53" s="91" t="s">
        <v>21</v>
      </c>
      <c r="K53" s="92"/>
      <c r="R53" s="60" t="str">
        <f t="shared" si="3"/>
        <v/>
      </c>
      <c r="S53" t="str">
        <f>IF(D53&lt;&gt;"",Tolerances!AA56,"")</f>
        <v/>
      </c>
      <c r="T53" t="str">
        <f>IF(D53&lt;&gt;"",Tolerances!AL56,"")</f>
        <v/>
      </c>
      <c r="U53" s="3">
        <f t="shared" si="2"/>
        <v>0</v>
      </c>
    </row>
    <row r="54" spans="2:21" x14ac:dyDescent="0.25">
      <c r="B54" s="69"/>
      <c r="C54" s="69"/>
      <c r="D54" s="89" t="str">
        <f>IF(C54&lt;&gt;"",C54,IF(HLOOKUP($F$4,Templates!$C$4:$V$124,Templates!B50+1,FALSE)=0,"",HLOOKUP($F$4,Templates!$C$4:$V$124,Templates!B51+1,FALSE)))</f>
        <v/>
      </c>
      <c r="E54" s="21"/>
      <c r="F54" s="21"/>
      <c r="G54" s="21"/>
      <c r="H54" s="26"/>
      <c r="I54" s="15" t="str">
        <f t="shared" si="4"/>
        <v/>
      </c>
      <c r="J54" s="91" t="s">
        <v>21</v>
      </c>
      <c r="K54" s="92"/>
      <c r="R54" s="60" t="str">
        <f t="shared" si="3"/>
        <v/>
      </c>
      <c r="S54" t="str">
        <f>IF(D54&lt;&gt;"",Tolerances!AA57,"")</f>
        <v/>
      </c>
      <c r="T54" t="str">
        <f>IF(D54&lt;&gt;"",Tolerances!AL57,"")</f>
        <v/>
      </c>
      <c r="U54" s="3">
        <f t="shared" si="2"/>
        <v>0</v>
      </c>
    </row>
    <row r="55" spans="2:21" x14ac:dyDescent="0.25">
      <c r="B55" s="69"/>
      <c r="C55" s="69"/>
      <c r="D55" s="89" t="str">
        <f>IF(C55&lt;&gt;"",C55,IF(HLOOKUP($F$4,Templates!$C$4:$V$124,Templates!B51+1,FALSE)=0,"",HLOOKUP($F$4,Templates!$C$4:$V$124,Templates!B52+1,FALSE)))</f>
        <v/>
      </c>
      <c r="E55" s="21"/>
      <c r="F55" s="21"/>
      <c r="G55" s="21"/>
      <c r="H55" s="23"/>
      <c r="I55" s="15" t="str">
        <f t="shared" si="4"/>
        <v/>
      </c>
      <c r="J55" s="91" t="s">
        <v>21</v>
      </c>
      <c r="K55" s="92"/>
      <c r="R55" s="60" t="str">
        <f t="shared" si="3"/>
        <v/>
      </c>
      <c r="S55" t="str">
        <f>IF(D55&lt;&gt;"",Tolerances!AA58,"")</f>
        <v/>
      </c>
      <c r="T55" t="str">
        <f>IF(D55&lt;&gt;"",Tolerances!AL58,"")</f>
        <v/>
      </c>
      <c r="U55" s="3">
        <f t="shared" si="2"/>
        <v>0</v>
      </c>
    </row>
    <row r="56" spans="2:21" x14ac:dyDescent="0.25">
      <c r="B56" s="69"/>
      <c r="C56" s="69"/>
      <c r="D56" s="89" t="str">
        <f>IF(C56&lt;&gt;"",C56,IF(HLOOKUP($F$4,Templates!$C$4:$V$124,Templates!B52+1,FALSE)=0,"",HLOOKUP($F$4,Templates!$C$4:$V$124,Templates!B53+1,FALSE)))</f>
        <v/>
      </c>
      <c r="E56" s="21"/>
      <c r="F56" s="21"/>
      <c r="G56" s="21"/>
      <c r="H56" s="25"/>
      <c r="I56" s="15" t="str">
        <f t="shared" si="4"/>
        <v/>
      </c>
      <c r="J56" s="91" t="s">
        <v>21</v>
      </c>
      <c r="K56" s="92"/>
      <c r="R56" s="60" t="str">
        <f t="shared" si="3"/>
        <v/>
      </c>
      <c r="S56" t="str">
        <f>IF(D56&lt;&gt;"",Tolerances!AA59,"")</f>
        <v/>
      </c>
      <c r="T56" t="str">
        <f>IF(D56&lt;&gt;"",Tolerances!AL59,"")</f>
        <v/>
      </c>
      <c r="U56" s="3">
        <f t="shared" si="2"/>
        <v>0</v>
      </c>
    </row>
    <row r="57" spans="2:21" x14ac:dyDescent="0.25">
      <c r="B57" s="69"/>
      <c r="C57" s="69"/>
      <c r="D57" s="89" t="str">
        <f>IF(C57&lt;&gt;"",C57,IF(HLOOKUP($F$4,Templates!$C$4:$V$124,Templates!B53+1,FALSE)=0,"",HLOOKUP($F$4,Templates!$C$4:$V$124,Templates!B54+1,FALSE)))</f>
        <v/>
      </c>
      <c r="E57" s="21"/>
      <c r="F57" s="21"/>
      <c r="G57" s="21"/>
      <c r="H57" s="25"/>
      <c r="I57" s="15" t="str">
        <f t="shared" si="4"/>
        <v/>
      </c>
      <c r="J57" s="91" t="s">
        <v>21</v>
      </c>
      <c r="K57" s="92"/>
      <c r="R57" s="60" t="str">
        <f t="shared" si="3"/>
        <v/>
      </c>
      <c r="S57" t="str">
        <f>IF(D57&lt;&gt;"",Tolerances!AA60,"")</f>
        <v/>
      </c>
      <c r="T57" t="str">
        <f>IF(D57&lt;&gt;"",Tolerances!AL60,"")</f>
        <v/>
      </c>
      <c r="U57" s="3">
        <f t="shared" si="2"/>
        <v>0</v>
      </c>
    </row>
    <row r="58" spans="2:21" x14ac:dyDescent="0.25">
      <c r="B58" s="69"/>
      <c r="C58" s="69"/>
      <c r="D58" s="89" t="str">
        <f>IF(C58&lt;&gt;"",C58,IF(HLOOKUP($F$4,Templates!$C$4:$V$124,Templates!B54+1,FALSE)=0,"",HLOOKUP($F$4,Templates!$C$4:$V$124,Templates!B55+1,FALSE)))</f>
        <v/>
      </c>
      <c r="E58" s="21"/>
      <c r="F58" s="21"/>
      <c r="G58" s="21"/>
      <c r="H58" s="25"/>
      <c r="I58" s="15" t="str">
        <f t="shared" si="4"/>
        <v/>
      </c>
      <c r="J58" s="91" t="s">
        <v>21</v>
      </c>
      <c r="K58" s="92"/>
      <c r="R58" s="60" t="str">
        <f t="shared" si="3"/>
        <v/>
      </c>
      <c r="S58" t="str">
        <f>IF(D58&lt;&gt;"",Tolerances!AA61,"")</f>
        <v/>
      </c>
      <c r="T58" t="str">
        <f>IF(D58&lt;&gt;"",Tolerances!AL61,"")</f>
        <v/>
      </c>
      <c r="U58" s="3">
        <f t="shared" si="2"/>
        <v>0</v>
      </c>
    </row>
    <row r="59" spans="2:21" x14ac:dyDescent="0.25">
      <c r="B59" s="69"/>
      <c r="C59" s="69"/>
      <c r="D59" s="89" t="str">
        <f>IF(C59&lt;&gt;"",C59,IF(HLOOKUP($F$4,Templates!$C$4:$V$124,Templates!B55+1,FALSE)=0,"",HLOOKUP($F$4,Templates!$C$4:$V$124,Templates!B56+1,FALSE)))</f>
        <v/>
      </c>
      <c r="E59" s="21"/>
      <c r="F59" s="21"/>
      <c r="G59" s="21"/>
      <c r="H59" s="25"/>
      <c r="I59" s="15" t="str">
        <f t="shared" si="4"/>
        <v/>
      </c>
      <c r="J59" s="91" t="s">
        <v>21</v>
      </c>
      <c r="K59" s="92"/>
      <c r="R59" s="60" t="str">
        <f t="shared" si="3"/>
        <v/>
      </c>
      <c r="S59" t="str">
        <f>IF(D59&lt;&gt;"",Tolerances!AA62,"")</f>
        <v/>
      </c>
      <c r="T59" t="str">
        <f>IF(D59&lt;&gt;"",Tolerances!AL62,"")</f>
        <v/>
      </c>
      <c r="U59" s="3">
        <f t="shared" si="2"/>
        <v>0</v>
      </c>
    </row>
    <row r="60" spans="2:21" x14ac:dyDescent="0.25">
      <c r="B60" s="69"/>
      <c r="C60" s="69"/>
      <c r="D60" s="89" t="str">
        <f>IF(C60&lt;&gt;"",C60,IF(HLOOKUP($F$4,Templates!$C$4:$V$124,Templates!B56+1,FALSE)=0,"",HLOOKUP($F$4,Templates!$C$4:$V$124,Templates!B57+1,FALSE)))</f>
        <v/>
      </c>
      <c r="E60" s="21"/>
      <c r="F60" s="21"/>
      <c r="G60" s="21"/>
      <c r="H60" s="25"/>
      <c r="I60" s="15" t="str">
        <f t="shared" si="4"/>
        <v/>
      </c>
      <c r="J60" s="91" t="s">
        <v>21</v>
      </c>
      <c r="K60" s="92"/>
      <c r="R60" s="60" t="str">
        <f t="shared" si="3"/>
        <v/>
      </c>
      <c r="S60" t="str">
        <f>IF(D60&lt;&gt;"",Tolerances!AA63,"")</f>
        <v/>
      </c>
      <c r="T60" t="str">
        <f>IF(D60&lt;&gt;"",Tolerances!AL63,"")</f>
        <v/>
      </c>
      <c r="U60" s="3">
        <f t="shared" si="2"/>
        <v>0</v>
      </c>
    </row>
    <row r="61" spans="2:21" x14ac:dyDescent="0.25">
      <c r="B61" s="69"/>
      <c r="C61" s="69"/>
      <c r="D61" s="89" t="str">
        <f>IF(C61&lt;&gt;"",C61,IF(HLOOKUP($F$4,Templates!$C$4:$V$124,Templates!B57+1,FALSE)=0,"",HLOOKUP($F$4,Templates!$C$4:$V$124,Templates!B58+1,FALSE)))</f>
        <v/>
      </c>
      <c r="E61" s="21"/>
      <c r="F61" s="21"/>
      <c r="G61" s="21"/>
      <c r="H61" s="25"/>
      <c r="I61" s="15" t="str">
        <f t="shared" si="4"/>
        <v/>
      </c>
      <c r="J61" s="91" t="s">
        <v>21</v>
      </c>
      <c r="K61" s="92"/>
      <c r="R61" s="60" t="str">
        <f t="shared" si="3"/>
        <v/>
      </c>
      <c r="S61" t="str">
        <f>IF(D61&lt;&gt;"",Tolerances!AA64,"")</f>
        <v/>
      </c>
      <c r="T61" t="str">
        <f>IF(D61&lt;&gt;"",Tolerances!AL64,"")</f>
        <v/>
      </c>
      <c r="U61" s="3">
        <f t="shared" si="2"/>
        <v>0</v>
      </c>
    </row>
    <row r="62" spans="2:21" x14ac:dyDescent="0.25">
      <c r="B62" s="69"/>
      <c r="C62" s="69"/>
      <c r="D62" s="89" t="str">
        <f>IF(C62&lt;&gt;"",C62,IF(HLOOKUP($F$4,Templates!$C$4:$V$124,Templates!B58+1,FALSE)=0,"",HLOOKUP($F$4,Templates!$C$4:$V$124,Templates!B59+1,FALSE)))</f>
        <v/>
      </c>
      <c r="E62" s="21"/>
      <c r="F62" s="21"/>
      <c r="G62" s="21"/>
      <c r="H62" s="25"/>
      <c r="I62" s="15" t="str">
        <f t="shared" si="4"/>
        <v/>
      </c>
      <c r="J62" s="91" t="s">
        <v>21</v>
      </c>
      <c r="K62" s="92"/>
      <c r="R62" s="60" t="str">
        <f t="shared" si="3"/>
        <v/>
      </c>
      <c r="S62" t="str">
        <f>IF(D62&lt;&gt;"",Tolerances!AA65,"")</f>
        <v/>
      </c>
      <c r="T62" t="str">
        <f>IF(D62&lt;&gt;"",Tolerances!AL65,"")</f>
        <v/>
      </c>
      <c r="U62" s="3">
        <f t="shared" si="2"/>
        <v>0</v>
      </c>
    </row>
    <row r="63" spans="2:21" x14ac:dyDescent="0.25">
      <c r="B63" s="69"/>
      <c r="C63" s="69"/>
      <c r="D63" s="89" t="str">
        <f>IF(C63&lt;&gt;"",C63,IF(HLOOKUP($F$4,Templates!$C$4:$V$124,Templates!B59+1,FALSE)=0,"",HLOOKUP($F$4,Templates!$C$4:$V$124,Templates!B60+1,FALSE)))</f>
        <v/>
      </c>
      <c r="E63" s="21"/>
      <c r="F63" s="21"/>
      <c r="G63" s="21"/>
      <c r="H63" s="25"/>
      <c r="I63" s="15" t="str">
        <f t="shared" si="4"/>
        <v/>
      </c>
      <c r="J63" s="91" t="s">
        <v>21</v>
      </c>
      <c r="K63" s="92"/>
      <c r="R63" s="60" t="str">
        <f t="shared" si="3"/>
        <v/>
      </c>
      <c r="S63" t="str">
        <f>IF(D63&lt;&gt;"",Tolerances!AA66,"")</f>
        <v/>
      </c>
      <c r="T63" t="str">
        <f>IF(D63&lt;&gt;"",Tolerances!AL66,"")</f>
        <v/>
      </c>
      <c r="U63" s="3">
        <f t="shared" si="2"/>
        <v>0</v>
      </c>
    </row>
    <row r="64" spans="2:21" x14ac:dyDescent="0.25">
      <c r="B64" s="69"/>
      <c r="C64" s="69"/>
      <c r="D64" s="89" t="str">
        <f>IF(C64&lt;&gt;"",C64,IF(HLOOKUP($F$4,Templates!$C$4:$V$124,Templates!B60+1,FALSE)=0,"",HLOOKUP($F$4,Templates!$C$4:$V$124,Templates!B61+1,FALSE)))</f>
        <v/>
      </c>
      <c r="E64" s="21"/>
      <c r="F64" s="22"/>
      <c r="G64" s="22"/>
      <c r="H64" s="25"/>
      <c r="I64" s="15" t="str">
        <f t="shared" si="4"/>
        <v/>
      </c>
      <c r="J64" s="91" t="s">
        <v>21</v>
      </c>
      <c r="K64" s="92"/>
      <c r="R64" s="60" t="str">
        <f t="shared" si="3"/>
        <v/>
      </c>
      <c r="S64" t="str">
        <f>IF(D64&lt;&gt;"",Tolerances!AA67,"")</f>
        <v/>
      </c>
      <c r="T64" t="str">
        <f>IF(D64&lt;&gt;"",Tolerances!AL67,"")</f>
        <v/>
      </c>
      <c r="U64" s="3">
        <f t="shared" si="2"/>
        <v>0</v>
      </c>
    </row>
    <row r="65" spans="2:21" x14ac:dyDescent="0.25">
      <c r="B65" s="69"/>
      <c r="C65" s="69"/>
      <c r="D65" s="89" t="str">
        <f>IF(C65&lt;&gt;"",C65,IF(HLOOKUP($F$4,Templates!$C$4:$V$124,Templates!B61+1,FALSE)=0,"",HLOOKUP($F$4,Templates!$C$4:$V$124,Templates!B62+1,FALSE)))</f>
        <v/>
      </c>
      <c r="E65" s="21"/>
      <c r="F65" s="22"/>
      <c r="G65" s="22"/>
      <c r="H65" s="25"/>
      <c r="I65" s="15" t="str">
        <f t="shared" si="4"/>
        <v/>
      </c>
      <c r="J65" s="91" t="s">
        <v>21</v>
      </c>
      <c r="K65" s="92"/>
      <c r="R65" s="60" t="str">
        <f t="shared" si="3"/>
        <v/>
      </c>
      <c r="S65" t="str">
        <f>IF(D65&lt;&gt;"",Tolerances!AA68,"")</f>
        <v/>
      </c>
      <c r="T65" t="str">
        <f>IF(D65&lt;&gt;"",Tolerances!AL68,"")</f>
        <v/>
      </c>
      <c r="U65" s="3">
        <f t="shared" si="2"/>
        <v>0</v>
      </c>
    </row>
    <row r="66" spans="2:21" x14ac:dyDescent="0.25">
      <c r="B66" s="69"/>
      <c r="C66" s="69"/>
      <c r="D66" s="89" t="str">
        <f>IF(C66&lt;&gt;"",C66,IF(HLOOKUP($F$4,Templates!$C$4:$V$124,Templates!B62+1,FALSE)=0,"",HLOOKUP($F$4,Templates!$C$4:$V$124,Templates!B63+1,FALSE)))</f>
        <v/>
      </c>
      <c r="E66" s="21"/>
      <c r="F66" s="22"/>
      <c r="G66" s="22"/>
      <c r="H66" s="25"/>
      <c r="I66" s="15" t="str">
        <f t="shared" si="4"/>
        <v/>
      </c>
      <c r="J66" s="91" t="s">
        <v>21</v>
      </c>
      <c r="K66" s="92"/>
      <c r="R66" s="60" t="str">
        <f t="shared" si="3"/>
        <v/>
      </c>
      <c r="S66" t="str">
        <f>IF(D66&lt;&gt;"",Tolerances!AA69,"")</f>
        <v/>
      </c>
      <c r="T66" t="str">
        <f>IF(D66&lt;&gt;"",Tolerances!AL69,"")</f>
        <v/>
      </c>
      <c r="U66" s="3">
        <f t="shared" si="2"/>
        <v>0</v>
      </c>
    </row>
    <row r="67" spans="2:21" x14ac:dyDescent="0.25">
      <c r="B67" s="69"/>
      <c r="C67" s="69"/>
      <c r="D67" s="89" t="str">
        <f>IF(C67&lt;&gt;"",C67,IF(HLOOKUP($F$4,Templates!$C$4:$V$124,Templates!B63+1,FALSE)=0,"",HLOOKUP($F$4,Templates!$C$4:$V$124,Templates!B64+1,FALSE)))</f>
        <v/>
      </c>
      <c r="E67" s="21"/>
      <c r="F67" s="22"/>
      <c r="G67" s="22"/>
      <c r="H67" s="25"/>
      <c r="I67" s="15" t="str">
        <f t="shared" si="4"/>
        <v/>
      </c>
      <c r="J67" s="91" t="s">
        <v>21</v>
      </c>
      <c r="K67" s="92"/>
      <c r="R67" s="60" t="str">
        <f t="shared" si="3"/>
        <v/>
      </c>
      <c r="S67" t="str">
        <f>IF(D67&lt;&gt;"",Tolerances!AA70,"")</f>
        <v/>
      </c>
      <c r="T67" t="str">
        <f>IF(D67&lt;&gt;"",Tolerances!AL70,"")</f>
        <v/>
      </c>
      <c r="U67" s="3">
        <f t="shared" si="2"/>
        <v>0</v>
      </c>
    </row>
    <row r="68" spans="2:21" x14ac:dyDescent="0.25">
      <c r="B68" s="69"/>
      <c r="C68" s="69"/>
      <c r="D68" s="89" t="str">
        <f>IF(C68&lt;&gt;"",C68,IF(HLOOKUP($F$4,Templates!$C$4:$V$124,Templates!B64+1,FALSE)=0,"",HLOOKUP($F$4,Templates!$C$4:$V$124,Templates!B65+1,FALSE)))</f>
        <v/>
      </c>
      <c r="E68" s="21"/>
      <c r="F68" s="22"/>
      <c r="G68" s="22"/>
      <c r="H68" s="25"/>
      <c r="I68" s="15" t="str">
        <f t="shared" si="4"/>
        <v/>
      </c>
      <c r="J68" s="91" t="s">
        <v>21</v>
      </c>
      <c r="K68" s="92"/>
      <c r="R68" s="60" t="str">
        <f t="shared" si="3"/>
        <v/>
      </c>
      <c r="S68" t="str">
        <f>IF(D68&lt;&gt;"",Tolerances!AA71,"")</f>
        <v/>
      </c>
      <c r="T68" t="str">
        <f>IF(D68&lt;&gt;"",Tolerances!AL71,"")</f>
        <v/>
      </c>
      <c r="U68" s="3">
        <f t="shared" si="2"/>
        <v>0</v>
      </c>
    </row>
    <row r="69" spans="2:21" x14ac:dyDescent="0.25">
      <c r="B69" s="69"/>
      <c r="C69" s="69"/>
      <c r="D69" s="89" t="str">
        <f>IF(C69&lt;&gt;"",C69,IF(HLOOKUP($F$4,Templates!$C$4:$V$124,Templates!B65+1,FALSE)=0,"",HLOOKUP($F$4,Templates!$C$4:$V$124,Templates!B66+1,FALSE)))</f>
        <v/>
      </c>
      <c r="E69" s="21"/>
      <c r="F69" s="22"/>
      <c r="G69" s="22"/>
      <c r="H69" s="25"/>
      <c r="I69" s="15" t="str">
        <f t="shared" si="4"/>
        <v/>
      </c>
      <c r="J69" s="91" t="s">
        <v>21</v>
      </c>
      <c r="K69" s="92"/>
      <c r="R69" s="60" t="str">
        <f t="shared" si="3"/>
        <v/>
      </c>
      <c r="S69" t="str">
        <f>IF(D69&lt;&gt;"",Tolerances!AA72,"")</f>
        <v/>
      </c>
      <c r="T69" t="str">
        <f>IF(D69&lt;&gt;"",Tolerances!AL72,"")</f>
        <v/>
      </c>
      <c r="U69" s="3">
        <f t="shared" si="2"/>
        <v>0</v>
      </c>
    </row>
    <row r="70" spans="2:21" x14ac:dyDescent="0.25">
      <c r="B70" s="69"/>
      <c r="C70" s="69"/>
      <c r="D70" s="89" t="str">
        <f>IF(C70&lt;&gt;"",C70,IF(HLOOKUP($F$4,Templates!$C$4:$V$124,Templates!B66+1,FALSE)=0,"",HLOOKUP($F$4,Templates!$C$4:$V$124,Templates!B67+1,FALSE)))</f>
        <v/>
      </c>
      <c r="E70" s="21"/>
      <c r="F70" s="22"/>
      <c r="G70" s="22"/>
      <c r="H70" s="25"/>
      <c r="I70" s="15" t="str">
        <f t="shared" si="4"/>
        <v/>
      </c>
      <c r="J70" s="91" t="s">
        <v>21</v>
      </c>
      <c r="K70" s="92"/>
      <c r="R70" s="60" t="str">
        <f t="shared" si="3"/>
        <v/>
      </c>
      <c r="S70" t="str">
        <f>IF(D70&lt;&gt;"",Tolerances!AA73,"")</f>
        <v/>
      </c>
      <c r="T70" t="str">
        <f>IF(D70&lt;&gt;"",Tolerances!AL73,"")</f>
        <v/>
      </c>
      <c r="U70" s="3">
        <f t="shared" si="2"/>
        <v>0</v>
      </c>
    </row>
    <row r="71" spans="2:21" x14ac:dyDescent="0.25">
      <c r="B71" s="69"/>
      <c r="C71" s="69"/>
      <c r="D71" s="89" t="str">
        <f>IF(C71&lt;&gt;"",C71,IF(HLOOKUP($F$4,Templates!$C$4:$V$124,Templates!B67+1,FALSE)=0,"",HLOOKUP($F$4,Templates!$C$4:$V$124,Templates!B68+1,FALSE)))</f>
        <v/>
      </c>
      <c r="E71" s="21"/>
      <c r="F71" s="22"/>
      <c r="G71" s="22"/>
      <c r="H71" s="25"/>
      <c r="I71" s="15" t="str">
        <f t="shared" si="4"/>
        <v/>
      </c>
      <c r="J71" s="91" t="s">
        <v>21</v>
      </c>
      <c r="K71" s="92"/>
      <c r="R71" s="60" t="str">
        <f t="shared" ref="R71:R134" si="5">IF(ISERROR(VALUE(D71)),"",VALUE(D71))</f>
        <v/>
      </c>
      <c r="S71" t="str">
        <f>IF(D71&lt;&gt;"",Tolerances!AA74,"")</f>
        <v/>
      </c>
      <c r="T71" t="str">
        <f>IF(D71&lt;&gt;"",Tolerances!AL74,"")</f>
        <v/>
      </c>
      <c r="U71" s="3">
        <f t="shared" ref="U71:U134" si="6">IF(ABS(MAX(E71:H71))&gt;ABS(MIN(E71:H71)),MAX(E71:H71),MIN(E71:H71))</f>
        <v>0</v>
      </c>
    </row>
    <row r="72" spans="2:21" x14ac:dyDescent="0.25">
      <c r="B72" s="69"/>
      <c r="C72" s="69"/>
      <c r="D72" s="89" t="str">
        <f>IF(C72&lt;&gt;"",C72,IF(HLOOKUP($F$4,Templates!$C$4:$V$124,Templates!B68+1,FALSE)=0,"",HLOOKUP($F$4,Templates!$C$4:$V$124,Templates!B69+1,FALSE)))</f>
        <v/>
      </c>
      <c r="E72" s="21"/>
      <c r="F72" s="22"/>
      <c r="G72" s="22"/>
      <c r="H72" s="25"/>
      <c r="I72" s="15" t="str">
        <f t="shared" si="4"/>
        <v/>
      </c>
      <c r="J72" s="91" t="s">
        <v>21</v>
      </c>
      <c r="K72" s="92"/>
      <c r="R72" s="60" t="str">
        <f t="shared" si="5"/>
        <v/>
      </c>
      <c r="S72" t="str">
        <f>IF(D72&lt;&gt;"",Tolerances!AA75,"")</f>
        <v/>
      </c>
      <c r="T72" t="str">
        <f>IF(D72&lt;&gt;"",Tolerances!AL75,"")</f>
        <v/>
      </c>
      <c r="U72" s="3">
        <f t="shared" si="6"/>
        <v>0</v>
      </c>
    </row>
    <row r="73" spans="2:21" x14ac:dyDescent="0.25">
      <c r="B73" s="69"/>
      <c r="C73" s="69"/>
      <c r="D73" s="89" t="str">
        <f>IF(C73&lt;&gt;"",C73,IF(HLOOKUP($F$4,Templates!$C$4:$V$124,Templates!B69+1,FALSE)=0,"",HLOOKUP($F$4,Templates!$C$4:$V$124,Templates!B70+1,FALSE)))</f>
        <v/>
      </c>
      <c r="E73" s="21"/>
      <c r="F73" s="22"/>
      <c r="G73" s="22"/>
      <c r="H73" s="25"/>
      <c r="I73" s="15" t="str">
        <f t="shared" si="4"/>
        <v/>
      </c>
      <c r="J73" s="91" t="s">
        <v>21</v>
      </c>
      <c r="K73" s="92"/>
      <c r="R73" s="60" t="str">
        <f t="shared" si="5"/>
        <v/>
      </c>
      <c r="S73" t="str">
        <f>IF(D73&lt;&gt;"",Tolerances!AA76,"")</f>
        <v/>
      </c>
      <c r="T73" t="str">
        <f>IF(D73&lt;&gt;"",Tolerances!AL76,"")</f>
        <v/>
      </c>
      <c r="U73" s="3">
        <f t="shared" si="6"/>
        <v>0</v>
      </c>
    </row>
    <row r="74" spans="2:21" x14ac:dyDescent="0.25">
      <c r="B74" s="69"/>
      <c r="C74" s="69"/>
      <c r="D74" s="89" t="str">
        <f>IF(C74&lt;&gt;"",C74,IF(HLOOKUP($F$4,Templates!$C$4:$V$124,Templates!B70+1,FALSE)=0,"",HLOOKUP($F$4,Templates!$C$4:$V$124,Templates!B71+1,FALSE)))</f>
        <v/>
      </c>
      <c r="E74" s="21"/>
      <c r="F74" s="22"/>
      <c r="G74" s="22"/>
      <c r="H74" s="25"/>
      <c r="I74" s="15" t="str">
        <f t="shared" si="4"/>
        <v/>
      </c>
      <c r="J74" s="91" t="s">
        <v>21</v>
      </c>
      <c r="K74" s="92"/>
      <c r="R74" s="60" t="str">
        <f t="shared" si="5"/>
        <v/>
      </c>
      <c r="S74" t="str">
        <f>IF(D74&lt;&gt;"",Tolerances!AA77,"")</f>
        <v/>
      </c>
      <c r="T74" t="str">
        <f>IF(D74&lt;&gt;"",Tolerances!AL77,"")</f>
        <v/>
      </c>
      <c r="U74" s="3">
        <f t="shared" si="6"/>
        <v>0</v>
      </c>
    </row>
    <row r="75" spans="2:21" x14ac:dyDescent="0.25">
      <c r="B75" s="69"/>
      <c r="C75" s="69"/>
      <c r="D75" s="89" t="str">
        <f>IF(C75&lt;&gt;"",C75,IF(HLOOKUP($F$4,Templates!$C$4:$V$124,Templates!B71+1,FALSE)=0,"",HLOOKUP($F$4,Templates!$C$4:$V$124,Templates!B72+1,FALSE)))</f>
        <v/>
      </c>
      <c r="E75" s="21"/>
      <c r="F75" s="22"/>
      <c r="G75" s="22"/>
      <c r="H75" s="25"/>
      <c r="I75" s="15" t="str">
        <f t="shared" si="4"/>
        <v/>
      </c>
      <c r="J75" s="91" t="s">
        <v>21</v>
      </c>
      <c r="K75" s="92"/>
      <c r="R75" s="60" t="str">
        <f t="shared" si="5"/>
        <v/>
      </c>
      <c r="S75" t="str">
        <f>IF(D75&lt;&gt;"",Tolerances!AA78,"")</f>
        <v/>
      </c>
      <c r="T75" t="str">
        <f>IF(D75&lt;&gt;"",Tolerances!AL78,"")</f>
        <v/>
      </c>
      <c r="U75" s="3">
        <f t="shared" si="6"/>
        <v>0</v>
      </c>
    </row>
    <row r="76" spans="2:21" x14ac:dyDescent="0.25">
      <c r="B76" s="69"/>
      <c r="C76" s="69"/>
      <c r="D76" s="89" t="str">
        <f>IF(C76&lt;&gt;"",C76,IF(HLOOKUP($F$4,Templates!$C$4:$V$124,Templates!B72+1,FALSE)=0,"",HLOOKUP($F$4,Templates!$C$4:$V$124,Templates!B73+1,FALSE)))</f>
        <v/>
      </c>
      <c r="E76" s="21"/>
      <c r="F76" s="22"/>
      <c r="G76" s="22"/>
      <c r="H76" s="25"/>
      <c r="I76" s="15" t="str">
        <f t="shared" si="4"/>
        <v/>
      </c>
      <c r="J76" s="91" t="s">
        <v>21</v>
      </c>
      <c r="K76" s="92"/>
      <c r="R76" s="60" t="str">
        <f t="shared" si="5"/>
        <v/>
      </c>
      <c r="S76" t="str">
        <f>IF(D76&lt;&gt;"",Tolerances!AA79,"")</f>
        <v/>
      </c>
      <c r="T76" t="str">
        <f>IF(D76&lt;&gt;"",Tolerances!AL79,"")</f>
        <v/>
      </c>
      <c r="U76" s="3">
        <f t="shared" si="6"/>
        <v>0</v>
      </c>
    </row>
    <row r="77" spans="2:21" x14ac:dyDescent="0.25">
      <c r="B77" s="69"/>
      <c r="C77" s="69"/>
      <c r="D77" s="89" t="str">
        <f>IF(C77&lt;&gt;"",C77,IF(HLOOKUP($F$4,Templates!$C$4:$V$124,Templates!B73+1,FALSE)=0,"",HLOOKUP($F$4,Templates!$C$4:$V$124,Templates!B74+1,FALSE)))</f>
        <v/>
      </c>
      <c r="E77" s="21"/>
      <c r="F77" s="22"/>
      <c r="G77" s="22"/>
      <c r="H77" s="25"/>
      <c r="I77" s="15" t="str">
        <f t="shared" si="4"/>
        <v/>
      </c>
      <c r="J77" s="91" t="s">
        <v>21</v>
      </c>
      <c r="K77" s="92"/>
      <c r="R77" s="60" t="str">
        <f t="shared" si="5"/>
        <v/>
      </c>
      <c r="S77" t="str">
        <f>IF(D77&lt;&gt;"",Tolerances!AA80,"")</f>
        <v/>
      </c>
      <c r="T77" t="str">
        <f>IF(D77&lt;&gt;"",Tolerances!AL80,"")</f>
        <v/>
      </c>
      <c r="U77" s="3">
        <f t="shared" si="6"/>
        <v>0</v>
      </c>
    </row>
    <row r="78" spans="2:21" x14ac:dyDescent="0.25">
      <c r="B78" s="69"/>
      <c r="C78" s="69"/>
      <c r="D78" s="89" t="str">
        <f>IF(C78&lt;&gt;"",C78,IF(HLOOKUP($F$4,Templates!$C$4:$V$124,Templates!B74+1,FALSE)=0,"",HLOOKUP($F$4,Templates!$C$4:$V$124,Templates!B75+1,FALSE)))</f>
        <v/>
      </c>
      <c r="E78" s="21"/>
      <c r="F78" s="22"/>
      <c r="G78" s="22"/>
      <c r="H78" s="25"/>
      <c r="I78" s="15" t="str">
        <f t="shared" si="4"/>
        <v/>
      </c>
      <c r="J78" s="91" t="s">
        <v>21</v>
      </c>
      <c r="K78" s="92"/>
      <c r="R78" s="60" t="str">
        <f t="shared" si="5"/>
        <v/>
      </c>
      <c r="S78" t="str">
        <f>IF(D78&lt;&gt;"",Tolerances!AA81,"")</f>
        <v/>
      </c>
      <c r="T78" t="str">
        <f>IF(D78&lt;&gt;"",Tolerances!AL81,"")</f>
        <v/>
      </c>
      <c r="U78" s="3">
        <f t="shared" si="6"/>
        <v>0</v>
      </c>
    </row>
    <row r="79" spans="2:21" x14ac:dyDescent="0.25">
      <c r="B79" s="69"/>
      <c r="C79" s="69"/>
      <c r="D79" s="89" t="str">
        <f>IF(C79&lt;&gt;"",C79,IF(HLOOKUP($F$4,Templates!$C$4:$V$124,Templates!B75+1,FALSE)=0,"",HLOOKUP($F$4,Templates!$C$4:$V$124,Templates!B76+1,FALSE)))</f>
        <v/>
      </c>
      <c r="E79" s="21"/>
      <c r="F79" s="22"/>
      <c r="G79" s="22"/>
      <c r="H79" s="25"/>
      <c r="I79" s="15" t="str">
        <f t="shared" si="4"/>
        <v/>
      </c>
      <c r="J79" s="91" t="s">
        <v>21</v>
      </c>
      <c r="K79" s="92"/>
      <c r="R79" s="60" t="str">
        <f t="shared" si="5"/>
        <v/>
      </c>
      <c r="S79" t="str">
        <f>IF(D79&lt;&gt;"",Tolerances!AA82,"")</f>
        <v/>
      </c>
      <c r="T79" t="str">
        <f>IF(D79&lt;&gt;"",Tolerances!AL82,"")</f>
        <v/>
      </c>
      <c r="U79" s="3">
        <f t="shared" si="6"/>
        <v>0</v>
      </c>
    </row>
    <row r="80" spans="2:21" x14ac:dyDescent="0.25">
      <c r="B80" s="69"/>
      <c r="C80" s="69"/>
      <c r="D80" s="89" t="str">
        <f>IF(C80&lt;&gt;"",C80,IF(HLOOKUP($F$4,Templates!$C$4:$V$124,Templates!B76+1,FALSE)=0,"",HLOOKUP($F$4,Templates!$C$4:$V$124,Templates!B77+1,FALSE)))</f>
        <v/>
      </c>
      <c r="E80" s="21"/>
      <c r="F80" s="22"/>
      <c r="G80" s="22"/>
      <c r="H80" s="25"/>
      <c r="I80" s="15" t="str">
        <f t="shared" si="4"/>
        <v/>
      </c>
      <c r="J80" s="91" t="s">
        <v>21</v>
      </c>
      <c r="K80" s="92"/>
      <c r="R80" s="60" t="str">
        <f t="shared" si="5"/>
        <v/>
      </c>
      <c r="S80" t="str">
        <f>IF(D80&lt;&gt;"",Tolerances!AA83,"")</f>
        <v/>
      </c>
      <c r="T80" t="str">
        <f>IF(D80&lt;&gt;"",Tolerances!AL83,"")</f>
        <v/>
      </c>
      <c r="U80" s="3">
        <f t="shared" si="6"/>
        <v>0</v>
      </c>
    </row>
    <row r="81" spans="2:21" x14ac:dyDescent="0.25">
      <c r="B81" s="69"/>
      <c r="C81" s="69"/>
      <c r="D81" s="89" t="str">
        <f>IF(C81&lt;&gt;"",C81,IF(HLOOKUP($F$4,Templates!$C$4:$V$124,Templates!B77+1,FALSE)=0,"",HLOOKUP($F$4,Templates!$C$4:$V$124,Templates!B78+1,FALSE)))</f>
        <v/>
      </c>
      <c r="E81" s="21"/>
      <c r="F81" s="22"/>
      <c r="G81" s="22"/>
      <c r="H81" s="25"/>
      <c r="I81" s="15" t="str">
        <f t="shared" si="4"/>
        <v/>
      </c>
      <c r="J81" s="91" t="s">
        <v>21</v>
      </c>
      <c r="K81" s="92"/>
      <c r="R81" s="60" t="str">
        <f t="shared" si="5"/>
        <v/>
      </c>
      <c r="S81" t="str">
        <f>IF(D81&lt;&gt;"",Tolerances!AA84,"")</f>
        <v/>
      </c>
      <c r="T81" t="str">
        <f>IF(D81&lt;&gt;"",Tolerances!AL84,"")</f>
        <v/>
      </c>
      <c r="U81" s="3">
        <f t="shared" si="6"/>
        <v>0</v>
      </c>
    </row>
    <row r="82" spans="2:21" x14ac:dyDescent="0.25">
      <c r="B82" s="69"/>
      <c r="C82" s="69"/>
      <c r="D82" s="89" t="str">
        <f>IF(C82&lt;&gt;"",C82,IF(HLOOKUP($F$4,Templates!$C$4:$V$124,Templates!B78+1,FALSE)=0,"",HLOOKUP($F$4,Templates!$C$4:$V$124,Templates!B79+1,FALSE)))</f>
        <v/>
      </c>
      <c r="E82" s="21"/>
      <c r="F82" s="22"/>
      <c r="G82" s="22"/>
      <c r="H82" s="25"/>
      <c r="I82" s="15" t="str">
        <f t="shared" si="4"/>
        <v/>
      </c>
      <c r="J82" s="91" t="s">
        <v>21</v>
      </c>
      <c r="K82" s="92"/>
      <c r="R82" s="60" t="str">
        <f t="shared" si="5"/>
        <v/>
      </c>
      <c r="S82" t="str">
        <f>IF(D82&lt;&gt;"",Tolerances!AA85,"")</f>
        <v/>
      </c>
      <c r="T82" t="str">
        <f>IF(D82&lt;&gt;"",Tolerances!AL85,"")</f>
        <v/>
      </c>
      <c r="U82" s="3">
        <f t="shared" si="6"/>
        <v>0</v>
      </c>
    </row>
    <row r="83" spans="2:21" x14ac:dyDescent="0.25">
      <c r="B83" s="69"/>
      <c r="C83" s="69"/>
      <c r="D83" s="89" t="str">
        <f>IF(C83&lt;&gt;"",C83,IF(HLOOKUP($F$4,Templates!$C$4:$V$124,Templates!B79+1,FALSE)=0,"",HLOOKUP($F$4,Templates!$C$4:$V$124,Templates!B80+1,FALSE)))</f>
        <v/>
      </c>
      <c r="E83" s="21"/>
      <c r="F83" s="22"/>
      <c r="G83" s="22"/>
      <c r="H83" s="25"/>
      <c r="I83" s="15" t="str">
        <f t="shared" si="4"/>
        <v/>
      </c>
      <c r="J83" s="91" t="s">
        <v>21</v>
      </c>
      <c r="K83" s="92"/>
      <c r="R83" s="60" t="str">
        <f t="shared" si="5"/>
        <v/>
      </c>
      <c r="S83" t="str">
        <f>IF(D83&lt;&gt;"",Tolerances!AA86,"")</f>
        <v/>
      </c>
      <c r="T83" t="str">
        <f>IF(D83&lt;&gt;"",Tolerances!AL86,"")</f>
        <v/>
      </c>
      <c r="U83" s="3">
        <f t="shared" si="6"/>
        <v>0</v>
      </c>
    </row>
    <row r="84" spans="2:21" x14ac:dyDescent="0.25">
      <c r="B84" s="69"/>
      <c r="C84" s="69"/>
      <c r="D84" s="89" t="str">
        <f>IF(C84&lt;&gt;"",C84,IF(HLOOKUP($F$4,Templates!$C$4:$V$124,Templates!B80+1,FALSE)=0,"",HLOOKUP($F$4,Templates!$C$4:$V$124,Templates!B81+1,FALSE)))</f>
        <v/>
      </c>
      <c r="E84" s="21"/>
      <c r="F84" s="22"/>
      <c r="G84" s="22"/>
      <c r="H84" s="25"/>
      <c r="I84" s="15" t="str">
        <f t="shared" si="4"/>
        <v/>
      </c>
      <c r="J84" s="91" t="s">
        <v>21</v>
      </c>
      <c r="K84" s="92"/>
      <c r="R84" s="60" t="str">
        <f t="shared" si="5"/>
        <v/>
      </c>
      <c r="S84" t="str">
        <f>IF(D84&lt;&gt;"",Tolerances!AA87,"")</f>
        <v/>
      </c>
      <c r="T84" t="str">
        <f>IF(D84&lt;&gt;"",Tolerances!AL87,"")</f>
        <v/>
      </c>
      <c r="U84" s="3">
        <f t="shared" si="6"/>
        <v>0</v>
      </c>
    </row>
    <row r="85" spans="2:21" x14ac:dyDescent="0.25">
      <c r="B85" s="69"/>
      <c r="C85" s="69"/>
      <c r="D85" s="89" t="str">
        <f>IF(C85&lt;&gt;"",C85,IF(HLOOKUP($F$4,Templates!$C$4:$V$124,Templates!B81+1,FALSE)=0,"",HLOOKUP($F$4,Templates!$C$4:$V$124,Templates!B82+1,FALSE)))</f>
        <v/>
      </c>
      <c r="E85" s="21"/>
      <c r="F85" s="22"/>
      <c r="G85" s="22"/>
      <c r="H85" s="25"/>
      <c r="I85" s="15" t="str">
        <f t="shared" si="4"/>
        <v/>
      </c>
      <c r="J85" s="91" t="s">
        <v>21</v>
      </c>
      <c r="K85" s="92"/>
      <c r="R85" s="60" t="str">
        <f t="shared" si="5"/>
        <v/>
      </c>
      <c r="S85" t="str">
        <f>IF(D85&lt;&gt;"",Tolerances!AA88,"")</f>
        <v/>
      </c>
      <c r="T85" t="str">
        <f>IF(D85&lt;&gt;"",Tolerances!AL88,"")</f>
        <v/>
      </c>
      <c r="U85" s="3">
        <f t="shared" si="6"/>
        <v>0</v>
      </c>
    </row>
    <row r="86" spans="2:21" x14ac:dyDescent="0.25">
      <c r="B86" s="69"/>
      <c r="C86" s="69"/>
      <c r="D86" s="89" t="str">
        <f>IF(C86&lt;&gt;"",C86,IF(HLOOKUP($F$4,Templates!$C$4:$V$124,Templates!B82+1,FALSE)=0,"",HLOOKUP($F$4,Templates!$C$4:$V$124,Templates!B83+1,FALSE)))</f>
        <v/>
      </c>
      <c r="E86" s="21"/>
      <c r="F86" s="22"/>
      <c r="G86" s="22"/>
      <c r="H86" s="25"/>
      <c r="I86" s="15" t="str">
        <f t="shared" si="4"/>
        <v/>
      </c>
      <c r="J86" s="91" t="s">
        <v>21</v>
      </c>
      <c r="K86" s="92"/>
      <c r="R86" s="60" t="str">
        <f t="shared" si="5"/>
        <v/>
      </c>
      <c r="S86" t="str">
        <f>IF(D86&lt;&gt;"",Tolerances!AA89,"")</f>
        <v/>
      </c>
      <c r="T86" t="str">
        <f>IF(D86&lt;&gt;"",Tolerances!AL89,"")</f>
        <v/>
      </c>
      <c r="U86" s="3">
        <f t="shared" si="6"/>
        <v>0</v>
      </c>
    </row>
    <row r="87" spans="2:21" x14ac:dyDescent="0.25">
      <c r="B87" s="69"/>
      <c r="C87" s="69"/>
      <c r="D87" s="89" t="str">
        <f>IF(C87&lt;&gt;"",C87,IF(HLOOKUP($F$4,Templates!$C$4:$V$124,Templates!B83+1,FALSE)=0,"",HLOOKUP($F$4,Templates!$C$4:$V$124,Templates!B84+1,FALSE)))</f>
        <v/>
      </c>
      <c r="E87" s="21"/>
      <c r="F87" s="22"/>
      <c r="G87" s="22"/>
      <c r="H87" s="25"/>
      <c r="I87" s="15" t="str">
        <f t="shared" si="4"/>
        <v/>
      </c>
      <c r="J87" s="91" t="s">
        <v>21</v>
      </c>
      <c r="K87" s="92"/>
      <c r="R87" s="60" t="str">
        <f t="shared" si="5"/>
        <v/>
      </c>
      <c r="S87" t="str">
        <f>IF(D87&lt;&gt;"",Tolerances!AA90,"")</f>
        <v/>
      </c>
      <c r="T87" t="str">
        <f>IF(D87&lt;&gt;"",Tolerances!AL90,"")</f>
        <v/>
      </c>
      <c r="U87" s="3">
        <f t="shared" si="6"/>
        <v>0</v>
      </c>
    </row>
    <row r="88" spans="2:21" x14ac:dyDescent="0.25">
      <c r="B88" s="69"/>
      <c r="C88" s="69"/>
      <c r="D88" s="89" t="str">
        <f>IF(C88&lt;&gt;"",C88,IF(HLOOKUP($F$4,Templates!$C$4:$V$124,Templates!B84+1,FALSE)=0,"",HLOOKUP($F$4,Templates!$C$4:$V$124,Templates!B85+1,FALSE)))</f>
        <v/>
      </c>
      <c r="E88" s="21"/>
      <c r="F88" s="21"/>
      <c r="G88" s="21"/>
      <c r="H88" s="23"/>
      <c r="I88" s="15" t="str">
        <f t="shared" si="4"/>
        <v/>
      </c>
      <c r="J88" s="91" t="s">
        <v>21</v>
      </c>
      <c r="K88" s="92"/>
      <c r="R88" s="60" t="str">
        <f t="shared" si="5"/>
        <v/>
      </c>
      <c r="S88" t="str">
        <f>IF(D88&lt;&gt;"",Tolerances!AA91,"")</f>
        <v/>
      </c>
      <c r="T88" t="str">
        <f>IF(D88&lt;&gt;"",Tolerances!AL91,"")</f>
        <v/>
      </c>
      <c r="U88" s="3">
        <f t="shared" si="6"/>
        <v>0</v>
      </c>
    </row>
    <row r="89" spans="2:21" x14ac:dyDescent="0.25">
      <c r="B89" s="69"/>
      <c r="C89" s="69" t="s">
        <v>1</v>
      </c>
      <c r="D89" s="89" t="str">
        <f>IF(C89&lt;&gt;"",C89,IF(HLOOKUP($F$4,Templates!$C$4:$V$124,Templates!B85+1,FALSE)=0,"",HLOOKUP($F$4,Templates!$C$4:$V$124,Templates!B86+1,FALSE)))</f>
        <v xml:space="preserve"> </v>
      </c>
      <c r="E89" s="21"/>
      <c r="F89" s="21"/>
      <c r="G89" s="21"/>
      <c r="H89" s="25"/>
      <c r="I89" s="15" t="str">
        <f t="shared" si="4"/>
        <v/>
      </c>
      <c r="J89" s="91" t="s">
        <v>21</v>
      </c>
      <c r="K89" s="92"/>
      <c r="R89" s="60" t="str">
        <f t="shared" si="5"/>
        <v/>
      </c>
      <c r="S89">
        <f>IF(D89&lt;&gt;"",Tolerances!AA92,"")</f>
        <v>6</v>
      </c>
      <c r="T89">
        <f>IF(D89&lt;&gt;"",Tolerances!AL92,"")</f>
        <v>4</v>
      </c>
      <c r="U89" s="3">
        <f t="shared" si="6"/>
        <v>0</v>
      </c>
    </row>
    <row r="90" spans="2:21" x14ac:dyDescent="0.25">
      <c r="B90" s="70"/>
      <c r="C90" s="70"/>
      <c r="D90" s="89" t="str">
        <f>IF(C90&lt;&gt;"",C90,IF(HLOOKUP($F$4,Templates!$C$4:$V$124,Templates!B86+1,FALSE)=0,"",HLOOKUP($F$4,Templates!$C$4:$V$124,Templates!B87+1,FALSE)))</f>
        <v/>
      </c>
      <c r="E90" s="21"/>
      <c r="F90" s="21"/>
      <c r="G90" s="21"/>
      <c r="H90" s="25"/>
      <c r="I90" s="15" t="str">
        <f t="shared" si="4"/>
        <v/>
      </c>
      <c r="J90" s="91" t="s">
        <v>21</v>
      </c>
      <c r="K90" s="92"/>
      <c r="R90" s="60" t="str">
        <f t="shared" si="5"/>
        <v/>
      </c>
      <c r="S90" t="str">
        <f>IF(D90&lt;&gt;"",Tolerances!AA93,"")</f>
        <v/>
      </c>
      <c r="T90" t="str">
        <f>IF(D90&lt;&gt;"",Tolerances!AL93,"")</f>
        <v/>
      </c>
      <c r="U90" s="3">
        <f t="shared" si="6"/>
        <v>0</v>
      </c>
    </row>
    <row r="91" spans="2:21" x14ac:dyDescent="0.25">
      <c r="B91" s="67"/>
      <c r="C91" s="88"/>
      <c r="D91" s="5"/>
      <c r="E91" s="9"/>
      <c r="F91" s="9"/>
      <c r="G91" s="9"/>
      <c r="H91" s="9"/>
      <c r="I91" s="9"/>
      <c r="J91" s="55"/>
      <c r="K91" s="55"/>
      <c r="R91" s="60">
        <f t="shared" si="5"/>
        <v>0</v>
      </c>
      <c r="S91" t="str">
        <f>IF(D91&lt;&gt;"",Tolerances!AA94,"")</f>
        <v/>
      </c>
      <c r="T91" t="str">
        <f>IF(D91&lt;&gt;"",Tolerances!AL94,"")</f>
        <v/>
      </c>
      <c r="U91" s="3">
        <f t="shared" si="6"/>
        <v>0</v>
      </c>
    </row>
    <row r="92" spans="2:21" x14ac:dyDescent="0.25">
      <c r="B92" s="53"/>
      <c r="C92" s="86"/>
      <c r="D92" s="5" t="s">
        <v>1</v>
      </c>
      <c r="E92" s="8" t="s">
        <v>22</v>
      </c>
      <c r="F92" s="8"/>
      <c r="G92" s="8"/>
      <c r="H92" s="18"/>
      <c r="I92" s="5"/>
      <c r="J92" s="53"/>
      <c r="K92" s="34" t="s">
        <v>28</v>
      </c>
      <c r="L92" s="6">
        <v>4</v>
      </c>
      <c r="R92" s="60" t="str">
        <f t="shared" si="5"/>
        <v/>
      </c>
      <c r="U92" s="3">
        <f t="shared" si="6"/>
        <v>0</v>
      </c>
    </row>
    <row r="93" spans="2:21" ht="26.25" customHeight="1" x14ac:dyDescent="0.25">
      <c r="B93" s="59" t="s">
        <v>8</v>
      </c>
      <c r="C93" s="87"/>
      <c r="D93" s="4" t="s">
        <v>24</v>
      </c>
      <c r="E93" s="4" t="s">
        <v>25</v>
      </c>
      <c r="F93" s="4" t="s">
        <v>12</v>
      </c>
      <c r="G93" s="4" t="s">
        <v>13</v>
      </c>
      <c r="H93" s="4" t="s">
        <v>14</v>
      </c>
      <c r="I93" s="4" t="s">
        <v>26</v>
      </c>
      <c r="J93" s="93" t="s">
        <v>27</v>
      </c>
      <c r="K93" s="93"/>
      <c r="R93" s="60" t="str">
        <f t="shared" si="5"/>
        <v/>
      </c>
      <c r="S93" t="str">
        <f>S5</f>
        <v>Length Tolerance(±)</v>
      </c>
      <c r="T93" t="str">
        <f>T5</f>
        <v>Parallelism Tolerance (±)</v>
      </c>
      <c r="U93" s="3">
        <f t="shared" si="6"/>
        <v>0</v>
      </c>
    </row>
    <row r="94" spans="2:21" x14ac:dyDescent="0.25">
      <c r="B94" s="68"/>
      <c r="C94" s="69"/>
      <c r="D94" s="89" t="str">
        <f>IF(C90&lt;&gt;"",C90,IF(HLOOKUP($F$4,Templates!$C$4:$V$124,Templates!B86+1,FALSE)=0,"",HLOOKUP($F$4,Templates!$C$4:$V$124,Templates!B88+1,FALSE)))</f>
        <v/>
      </c>
      <c r="E94" s="21"/>
      <c r="F94" s="21"/>
      <c r="G94" s="21"/>
      <c r="H94" s="23"/>
      <c r="I94" s="15" t="str">
        <f t="shared" ref="I94:I136" si="7">IF(AND(E94&lt;&gt;"",F94&lt;&gt;"",G94&lt;&gt;""),ABS((MAX(E94:H94)-MIN(E94:H94))),"")</f>
        <v/>
      </c>
      <c r="J94" s="91" t="s">
        <v>21</v>
      </c>
      <c r="K94" s="92"/>
      <c r="R94" s="60" t="str">
        <f t="shared" si="5"/>
        <v/>
      </c>
      <c r="S94" t="str">
        <f>IF(D94&lt;&gt;"",Tolerances!AA97,"")</f>
        <v/>
      </c>
      <c r="T94" t="str">
        <f>IF(D94&lt;&gt;"",Tolerances!AL97,"")</f>
        <v/>
      </c>
      <c r="U94" s="3">
        <f t="shared" si="6"/>
        <v>0</v>
      </c>
    </row>
    <row r="95" spans="2:21" x14ac:dyDescent="0.25">
      <c r="B95" s="69"/>
      <c r="C95" s="69"/>
      <c r="D95" s="89" t="str">
        <f>IF(C91&lt;&gt;"",C91,IF(HLOOKUP($F$4,Templates!$C$4:$V$124,Templates!B87+1,FALSE)=0,"",HLOOKUP($F$4,Templates!$C$4:$V$124,Templates!B89+1,FALSE)))</f>
        <v/>
      </c>
      <c r="E95" s="21"/>
      <c r="F95" s="21"/>
      <c r="G95" s="21"/>
      <c r="H95" s="25"/>
      <c r="I95" s="15" t="str">
        <f t="shared" si="7"/>
        <v/>
      </c>
      <c r="J95" s="91" t="s">
        <v>21</v>
      </c>
      <c r="K95" s="92"/>
      <c r="R95" s="60" t="str">
        <f t="shared" si="5"/>
        <v/>
      </c>
      <c r="S95" t="str">
        <f>IF(D95&lt;&gt;"",Tolerances!AA98,"")</f>
        <v/>
      </c>
      <c r="T95" t="str">
        <f>IF(D95&lt;&gt;"",Tolerances!AL98,"")</f>
        <v/>
      </c>
      <c r="U95" s="3">
        <f t="shared" si="6"/>
        <v>0</v>
      </c>
    </row>
    <row r="96" spans="2:21" x14ac:dyDescent="0.25">
      <c r="B96" s="69"/>
      <c r="C96" s="69"/>
      <c r="D96" s="89" t="str">
        <f>IF(C92&lt;&gt;"",C92,IF(HLOOKUP($F$4,Templates!$C$4:$V$124,Templates!B88+1,FALSE)=0,"",HLOOKUP($F$4,Templates!$C$4:$V$124,Templates!B90+1,FALSE)))</f>
        <v/>
      </c>
      <c r="E96" s="21"/>
      <c r="F96" s="21"/>
      <c r="G96" s="21"/>
      <c r="H96" s="25"/>
      <c r="I96" s="15" t="str">
        <f t="shared" si="7"/>
        <v/>
      </c>
      <c r="J96" s="91" t="s">
        <v>21</v>
      </c>
      <c r="K96" s="92"/>
      <c r="R96" s="60" t="str">
        <f t="shared" si="5"/>
        <v/>
      </c>
      <c r="S96" t="str">
        <f>IF(D96&lt;&gt;"",Tolerances!AA99,"")</f>
        <v/>
      </c>
      <c r="T96" t="str">
        <f>IF(D96&lt;&gt;"",Tolerances!AL99,"")</f>
        <v/>
      </c>
      <c r="U96" s="3">
        <f t="shared" si="6"/>
        <v>0</v>
      </c>
    </row>
    <row r="97" spans="2:21" x14ac:dyDescent="0.25">
      <c r="B97" s="69"/>
      <c r="C97" s="69"/>
      <c r="D97" s="89" t="str">
        <f>IF(C93&lt;&gt;"",C93,IF(HLOOKUP($F$4,Templates!$C$4:$V$124,Templates!B89+1,FALSE)=0,"",HLOOKUP($F$4,Templates!$C$4:$V$124,Templates!B91+1,FALSE)))</f>
        <v/>
      </c>
      <c r="E97" s="21"/>
      <c r="F97" s="21"/>
      <c r="G97" s="21"/>
      <c r="H97" s="25"/>
      <c r="I97" s="15" t="str">
        <f t="shared" si="7"/>
        <v/>
      </c>
      <c r="J97" s="91" t="s">
        <v>21</v>
      </c>
      <c r="K97" s="92"/>
      <c r="R97" s="60" t="str">
        <f t="shared" si="5"/>
        <v/>
      </c>
      <c r="S97" t="str">
        <f>IF(D97&lt;&gt;"",Tolerances!AA100,"")</f>
        <v/>
      </c>
      <c r="T97" t="str">
        <f>IF(D97&lt;&gt;"",Tolerances!AL100,"")</f>
        <v/>
      </c>
      <c r="U97" s="3">
        <f t="shared" si="6"/>
        <v>0</v>
      </c>
    </row>
    <row r="98" spans="2:21" x14ac:dyDescent="0.25">
      <c r="B98" s="69"/>
      <c r="C98" s="69"/>
      <c r="D98" s="89" t="str">
        <f>IF(C94&lt;&gt;"",C94,IF(HLOOKUP($F$4,Templates!$C$4:$V$124,Templates!B90+1,FALSE)=0,"",HLOOKUP($F$4,Templates!$C$4:$V$124,Templates!B92+1,FALSE)))</f>
        <v/>
      </c>
      <c r="E98" s="21"/>
      <c r="F98" s="21"/>
      <c r="G98" s="21"/>
      <c r="H98" s="25"/>
      <c r="I98" s="15" t="str">
        <f t="shared" si="7"/>
        <v/>
      </c>
      <c r="J98" s="91" t="s">
        <v>21</v>
      </c>
      <c r="K98" s="92"/>
      <c r="R98" s="60" t="str">
        <f t="shared" si="5"/>
        <v/>
      </c>
      <c r="S98" t="str">
        <f>IF(D98&lt;&gt;"",Tolerances!AA101,"")</f>
        <v/>
      </c>
      <c r="T98" t="str">
        <f>IF(D98&lt;&gt;"",Tolerances!AL101,"")</f>
        <v/>
      </c>
      <c r="U98" s="3">
        <f t="shared" si="6"/>
        <v>0</v>
      </c>
    </row>
    <row r="99" spans="2:21" x14ac:dyDescent="0.25">
      <c r="B99" s="69"/>
      <c r="C99" s="69"/>
      <c r="D99" s="89" t="str">
        <f>IF(C95&lt;&gt;"",C95,IF(HLOOKUP($F$4,Templates!$C$4:$V$124,Templates!B91+1,FALSE)=0,"",HLOOKUP($F$4,Templates!$C$4:$V$124,Templates!B93+1,FALSE)))</f>
        <v/>
      </c>
      <c r="E99" s="21"/>
      <c r="F99" s="21"/>
      <c r="G99" s="21"/>
      <c r="H99" s="25"/>
      <c r="I99" s="15" t="str">
        <f t="shared" si="7"/>
        <v/>
      </c>
      <c r="J99" s="91" t="s">
        <v>21</v>
      </c>
      <c r="K99" s="92"/>
      <c r="R99" s="60" t="str">
        <f t="shared" si="5"/>
        <v/>
      </c>
      <c r="S99" t="str">
        <f>IF(D99&lt;&gt;"",Tolerances!AA102,"")</f>
        <v/>
      </c>
      <c r="T99" t="str">
        <f>IF(D99&lt;&gt;"",Tolerances!AL102,"")</f>
        <v/>
      </c>
      <c r="U99" s="3">
        <f t="shared" si="6"/>
        <v>0</v>
      </c>
    </row>
    <row r="100" spans="2:21" x14ac:dyDescent="0.25">
      <c r="B100" s="69"/>
      <c r="C100" s="69"/>
      <c r="D100" s="89" t="str">
        <f>IF(C96&lt;&gt;"",C96,IF(HLOOKUP($F$4,Templates!$C$4:$V$124,Templates!B92+1,FALSE)=0,"",HLOOKUP($F$4,Templates!$C$4:$V$124,Templates!B94+1,FALSE)))</f>
        <v/>
      </c>
      <c r="E100" s="21"/>
      <c r="F100" s="21"/>
      <c r="G100" s="21"/>
      <c r="H100" s="26"/>
      <c r="I100" s="15" t="str">
        <f t="shared" si="7"/>
        <v/>
      </c>
      <c r="J100" s="91" t="s">
        <v>21</v>
      </c>
      <c r="K100" s="92"/>
      <c r="R100" s="60" t="str">
        <f t="shared" si="5"/>
        <v/>
      </c>
      <c r="S100" t="str">
        <f>IF(D100&lt;&gt;"",Tolerances!AA103,"")</f>
        <v/>
      </c>
      <c r="T100" t="str">
        <f>IF(D100&lt;&gt;"",Tolerances!AL103,"")</f>
        <v/>
      </c>
      <c r="U100" s="3">
        <f t="shared" si="6"/>
        <v>0</v>
      </c>
    </row>
    <row r="101" spans="2:21" x14ac:dyDescent="0.25">
      <c r="B101" s="69"/>
      <c r="C101" s="69"/>
      <c r="D101" s="89" t="str">
        <f>IF(C97&lt;&gt;"",C97,IF(HLOOKUP($F$4,Templates!$C$4:$V$124,Templates!B93+1,FALSE)=0,"",HLOOKUP($F$4,Templates!$C$4:$V$124,Templates!B95+1,FALSE)))</f>
        <v/>
      </c>
      <c r="E101" s="21"/>
      <c r="F101" s="21"/>
      <c r="G101" s="21"/>
      <c r="H101" s="23"/>
      <c r="I101" s="15" t="str">
        <f t="shared" si="7"/>
        <v/>
      </c>
      <c r="J101" s="91" t="s">
        <v>21</v>
      </c>
      <c r="K101" s="92"/>
      <c r="R101" s="60" t="str">
        <f t="shared" si="5"/>
        <v/>
      </c>
      <c r="S101" t="str">
        <f>IF(D101&lt;&gt;"",Tolerances!AA104,"")</f>
        <v/>
      </c>
      <c r="T101" t="str">
        <f>IF(D101&lt;&gt;"",Tolerances!AL104,"")</f>
        <v/>
      </c>
      <c r="U101" s="3">
        <f t="shared" si="6"/>
        <v>0</v>
      </c>
    </row>
    <row r="102" spans="2:21" x14ac:dyDescent="0.25">
      <c r="B102" s="69"/>
      <c r="C102" s="69"/>
      <c r="D102" s="89" t="str">
        <f>IF(C98&lt;&gt;"",C98,IF(HLOOKUP($F$4,Templates!$C$4:$V$124,Templates!B94+1,FALSE)=0,"",HLOOKUP($F$4,Templates!$C$4:$V$124,Templates!B96+1,FALSE)))</f>
        <v/>
      </c>
      <c r="E102" s="21"/>
      <c r="F102" s="21"/>
      <c r="G102" s="21"/>
      <c r="H102" s="25"/>
      <c r="I102" s="15" t="str">
        <f t="shared" si="7"/>
        <v/>
      </c>
      <c r="J102" s="91" t="s">
        <v>21</v>
      </c>
      <c r="K102" s="92"/>
      <c r="R102" s="60" t="str">
        <f t="shared" si="5"/>
        <v/>
      </c>
      <c r="S102" t="str">
        <f>IF(D102&lt;&gt;"",Tolerances!AA105,"")</f>
        <v/>
      </c>
      <c r="T102" t="str">
        <f>IF(D102&lt;&gt;"",Tolerances!AL105,"")</f>
        <v/>
      </c>
      <c r="U102" s="3">
        <f t="shared" si="6"/>
        <v>0</v>
      </c>
    </row>
    <row r="103" spans="2:21" x14ac:dyDescent="0.25">
      <c r="B103" s="69"/>
      <c r="C103" s="69"/>
      <c r="D103" s="89" t="str">
        <f>IF(C99&lt;&gt;"",C99,IF(HLOOKUP($F$4,Templates!$C$4:$V$124,Templates!B95+1,FALSE)=0,"",HLOOKUP($F$4,Templates!$C$4:$V$124,Templates!B97+1,FALSE)))</f>
        <v/>
      </c>
      <c r="E103" s="21"/>
      <c r="F103" s="21"/>
      <c r="G103" s="21"/>
      <c r="H103" s="25"/>
      <c r="I103" s="15" t="str">
        <f t="shared" si="7"/>
        <v/>
      </c>
      <c r="J103" s="91" t="s">
        <v>21</v>
      </c>
      <c r="K103" s="92"/>
      <c r="R103" s="60" t="str">
        <f t="shared" si="5"/>
        <v/>
      </c>
      <c r="S103" t="str">
        <f>IF(D103&lt;&gt;"",Tolerances!AA106,"")</f>
        <v/>
      </c>
      <c r="T103" t="str">
        <f>IF(D103&lt;&gt;"",Tolerances!AL106,"")</f>
        <v/>
      </c>
      <c r="U103" s="3">
        <f t="shared" si="6"/>
        <v>0</v>
      </c>
    </row>
    <row r="104" spans="2:21" x14ac:dyDescent="0.25">
      <c r="B104" s="69"/>
      <c r="C104" s="69"/>
      <c r="D104" s="89" t="str">
        <f>IF(C100&lt;&gt;"",C100,IF(HLOOKUP($F$4,Templates!$C$4:$V$124,Templates!B96+1,FALSE)=0,"",HLOOKUP($F$4,Templates!$C$4:$V$124,Templates!B98+1,FALSE)))</f>
        <v/>
      </c>
      <c r="E104" s="21"/>
      <c r="F104" s="21"/>
      <c r="G104" s="21"/>
      <c r="H104" s="25"/>
      <c r="I104" s="15" t="str">
        <f t="shared" si="7"/>
        <v/>
      </c>
      <c r="J104" s="91" t="s">
        <v>21</v>
      </c>
      <c r="K104" s="92"/>
      <c r="R104" s="60" t="str">
        <f t="shared" si="5"/>
        <v/>
      </c>
      <c r="S104" t="str">
        <f>IF(D104&lt;&gt;"",Tolerances!AA107,"")</f>
        <v/>
      </c>
      <c r="T104" t="str">
        <f>IF(D104&lt;&gt;"",Tolerances!AL107,"")</f>
        <v/>
      </c>
      <c r="U104" s="3">
        <f t="shared" si="6"/>
        <v>0</v>
      </c>
    </row>
    <row r="105" spans="2:21" x14ac:dyDescent="0.25">
      <c r="B105" s="69"/>
      <c r="C105" s="69"/>
      <c r="D105" s="89" t="str">
        <f>IF(C101&lt;&gt;"",C101,IF(HLOOKUP($F$4,Templates!$C$4:$V$124,Templates!B97+1,FALSE)=0,"",HLOOKUP($F$4,Templates!$C$4:$V$124,Templates!B99+1,FALSE)))</f>
        <v/>
      </c>
      <c r="E105" s="21"/>
      <c r="F105" s="21"/>
      <c r="G105" s="21"/>
      <c r="H105" s="25"/>
      <c r="I105" s="15" t="str">
        <f t="shared" si="7"/>
        <v/>
      </c>
      <c r="J105" s="91" t="s">
        <v>21</v>
      </c>
      <c r="K105" s="92"/>
      <c r="R105" s="60" t="str">
        <f t="shared" si="5"/>
        <v/>
      </c>
      <c r="S105" t="str">
        <f>IF(D105&lt;&gt;"",Tolerances!AA108,"")</f>
        <v/>
      </c>
      <c r="T105" t="str">
        <f>IF(D105&lt;&gt;"",Tolerances!AL108,"")</f>
        <v/>
      </c>
      <c r="U105" s="3">
        <f t="shared" si="6"/>
        <v>0</v>
      </c>
    </row>
    <row r="106" spans="2:21" x14ac:dyDescent="0.25">
      <c r="B106" s="69"/>
      <c r="C106" s="69"/>
      <c r="D106" s="89" t="str">
        <f>IF(C102&lt;&gt;"",C102,IF(HLOOKUP($F$4,Templates!$C$4:$V$124,Templates!B98+1,FALSE)=0,"",HLOOKUP($F$4,Templates!$C$4:$V$124,Templates!B100+1,FALSE)))</f>
        <v/>
      </c>
      <c r="E106" s="21"/>
      <c r="F106" s="21"/>
      <c r="G106" s="21"/>
      <c r="H106" s="25"/>
      <c r="I106" s="15" t="str">
        <f t="shared" si="7"/>
        <v/>
      </c>
      <c r="J106" s="91" t="s">
        <v>21</v>
      </c>
      <c r="K106" s="92"/>
      <c r="R106" s="60" t="str">
        <f t="shared" si="5"/>
        <v/>
      </c>
      <c r="S106" t="str">
        <f>IF(D106&lt;&gt;"",Tolerances!AA109,"")</f>
        <v/>
      </c>
      <c r="T106" t="str">
        <f>IF(D106&lt;&gt;"",Tolerances!AL109,"")</f>
        <v/>
      </c>
      <c r="U106" s="3">
        <f t="shared" si="6"/>
        <v>0</v>
      </c>
    </row>
    <row r="107" spans="2:21" x14ac:dyDescent="0.25">
      <c r="B107" s="69"/>
      <c r="C107" s="69"/>
      <c r="D107" s="89" t="str">
        <f>IF(C103&lt;&gt;"",C103,IF(HLOOKUP($F$4,Templates!$C$4:$V$124,Templates!B99+1,FALSE)=0,"",HLOOKUP($F$4,Templates!$C$4:$V$124,Templates!B101+1,FALSE)))</f>
        <v/>
      </c>
      <c r="E107" s="21"/>
      <c r="F107" s="21"/>
      <c r="G107" s="21"/>
      <c r="H107" s="25"/>
      <c r="I107" s="15" t="str">
        <f t="shared" si="7"/>
        <v/>
      </c>
      <c r="J107" s="91" t="s">
        <v>21</v>
      </c>
      <c r="K107" s="92"/>
      <c r="R107" s="60" t="str">
        <f t="shared" si="5"/>
        <v/>
      </c>
      <c r="S107" t="str">
        <f>IF(D107&lt;&gt;"",Tolerances!AA110,"")</f>
        <v/>
      </c>
      <c r="T107" t="str">
        <f>IF(D107&lt;&gt;"",Tolerances!AL110,"")</f>
        <v/>
      </c>
      <c r="U107" s="3">
        <f t="shared" si="6"/>
        <v>0</v>
      </c>
    </row>
    <row r="108" spans="2:21" x14ac:dyDescent="0.25">
      <c r="B108" s="69"/>
      <c r="C108" s="69"/>
      <c r="D108" s="89" t="str">
        <f>IF(C104&lt;&gt;"",C104,IF(HLOOKUP($F$4,Templates!$C$4:$V$124,Templates!B100+1,FALSE)=0,"",HLOOKUP($F$4,Templates!$C$4:$V$124,Templates!B102+1,FALSE)))</f>
        <v/>
      </c>
      <c r="E108" s="21"/>
      <c r="F108" s="21"/>
      <c r="G108" s="21"/>
      <c r="H108" s="25"/>
      <c r="I108" s="15" t="str">
        <f t="shared" si="7"/>
        <v/>
      </c>
      <c r="J108" s="91" t="s">
        <v>21</v>
      </c>
      <c r="K108" s="92"/>
      <c r="R108" s="60" t="str">
        <f t="shared" si="5"/>
        <v/>
      </c>
      <c r="S108" t="str">
        <f>IF(D108&lt;&gt;"",Tolerances!AA111,"")</f>
        <v/>
      </c>
      <c r="T108" t="str">
        <f>IF(D108&lt;&gt;"",Tolerances!AL111,"")</f>
        <v/>
      </c>
      <c r="U108" s="3">
        <f t="shared" si="6"/>
        <v>0</v>
      </c>
    </row>
    <row r="109" spans="2:21" x14ac:dyDescent="0.25">
      <c r="B109" s="69"/>
      <c r="C109" s="69"/>
      <c r="D109" s="89" t="str">
        <f>IF(C105&lt;&gt;"",C105,IF(HLOOKUP($F$4,Templates!$C$4:$V$124,Templates!B101+1,FALSE)=0,"",HLOOKUP($F$4,Templates!$C$4:$V$124,Templates!B103+1,FALSE)))</f>
        <v/>
      </c>
      <c r="E109" s="21"/>
      <c r="F109" s="21"/>
      <c r="G109" s="21"/>
      <c r="H109" s="25"/>
      <c r="I109" s="15" t="str">
        <f t="shared" si="7"/>
        <v/>
      </c>
      <c r="J109" s="91" t="s">
        <v>21</v>
      </c>
      <c r="K109" s="92"/>
      <c r="R109" s="60" t="str">
        <f t="shared" si="5"/>
        <v/>
      </c>
      <c r="S109" t="str">
        <f>IF(D109&lt;&gt;"",Tolerances!AA112,"")</f>
        <v/>
      </c>
      <c r="T109" t="str">
        <f>IF(D109&lt;&gt;"",Tolerances!AL112,"")</f>
        <v/>
      </c>
      <c r="U109" s="3">
        <f t="shared" si="6"/>
        <v>0</v>
      </c>
    </row>
    <row r="110" spans="2:21" x14ac:dyDescent="0.25">
      <c r="B110" s="69"/>
      <c r="C110" s="69"/>
      <c r="D110" s="89" t="str">
        <f>IF(C106&lt;&gt;"",C106,IF(HLOOKUP($F$4,Templates!$C$4:$V$124,Templates!B102+1,FALSE)=0,"",HLOOKUP($F$4,Templates!$C$4:$V$124,Templates!B104+1,FALSE)))</f>
        <v/>
      </c>
      <c r="E110" s="21"/>
      <c r="F110" s="22"/>
      <c r="G110" s="22"/>
      <c r="H110" s="25"/>
      <c r="I110" s="15" t="str">
        <f t="shared" si="7"/>
        <v/>
      </c>
      <c r="J110" s="91" t="s">
        <v>21</v>
      </c>
      <c r="K110" s="92"/>
      <c r="R110" s="60" t="str">
        <f t="shared" si="5"/>
        <v/>
      </c>
      <c r="S110" t="str">
        <f>IF(D110&lt;&gt;"",Tolerances!AA113,"")</f>
        <v/>
      </c>
      <c r="T110" t="str">
        <f>IF(D110&lt;&gt;"",Tolerances!AL113,"")</f>
        <v/>
      </c>
      <c r="U110" s="3">
        <f t="shared" si="6"/>
        <v>0</v>
      </c>
    </row>
    <row r="111" spans="2:21" x14ac:dyDescent="0.25">
      <c r="B111" s="69"/>
      <c r="C111" s="69"/>
      <c r="D111" s="89" t="str">
        <f>IF(C107&lt;&gt;"",C107,IF(HLOOKUP($F$4,Templates!$C$4:$V$124,Templates!B103+1,FALSE)=0,"",HLOOKUP($F$4,Templates!$C$4:$V$124,Templates!B105+1,FALSE)))</f>
        <v/>
      </c>
      <c r="E111" s="21"/>
      <c r="F111" s="22"/>
      <c r="G111" s="22"/>
      <c r="H111" s="25"/>
      <c r="I111" s="15" t="str">
        <f t="shared" si="7"/>
        <v/>
      </c>
      <c r="J111" s="91" t="s">
        <v>21</v>
      </c>
      <c r="K111" s="92"/>
      <c r="R111" s="60" t="str">
        <f t="shared" si="5"/>
        <v/>
      </c>
      <c r="S111" t="str">
        <f>IF(D111&lt;&gt;"",Tolerances!AA114,"")</f>
        <v/>
      </c>
      <c r="T111" t="str">
        <f>IF(D111&lt;&gt;"",Tolerances!AL114,"")</f>
        <v/>
      </c>
      <c r="U111" s="3">
        <f t="shared" si="6"/>
        <v>0</v>
      </c>
    </row>
    <row r="112" spans="2:21" x14ac:dyDescent="0.25">
      <c r="B112" s="69"/>
      <c r="C112" s="69"/>
      <c r="D112" s="89" t="str">
        <f>IF(C108&lt;&gt;"",C108,IF(HLOOKUP($F$4,Templates!$C$4:$V$124,Templates!B104+1,FALSE)=0,"",HLOOKUP($F$4,Templates!$C$4:$V$124,Templates!B106+1,FALSE)))</f>
        <v/>
      </c>
      <c r="E112" s="21"/>
      <c r="F112" s="22"/>
      <c r="G112" s="22"/>
      <c r="H112" s="25"/>
      <c r="I112" s="15" t="str">
        <f t="shared" si="7"/>
        <v/>
      </c>
      <c r="J112" s="91" t="s">
        <v>21</v>
      </c>
      <c r="K112" s="92"/>
      <c r="R112" s="60" t="str">
        <f t="shared" si="5"/>
        <v/>
      </c>
      <c r="S112" t="str">
        <f>IF(D112&lt;&gt;"",Tolerances!AA115,"")</f>
        <v/>
      </c>
      <c r="T112" t="str">
        <f>IF(D112&lt;&gt;"",Tolerances!AL115,"")</f>
        <v/>
      </c>
      <c r="U112" s="3">
        <f t="shared" si="6"/>
        <v>0</v>
      </c>
    </row>
    <row r="113" spans="2:21" x14ac:dyDescent="0.25">
      <c r="B113" s="69"/>
      <c r="C113" s="69"/>
      <c r="D113" s="89" t="str">
        <f>IF(C109&lt;&gt;"",C109,IF(HLOOKUP($F$4,Templates!$C$4:$V$124,Templates!B105+1,FALSE)=0,"",HLOOKUP($F$4,Templates!$C$4:$V$124,Templates!B107+1,FALSE)))</f>
        <v/>
      </c>
      <c r="E113" s="21"/>
      <c r="F113" s="22"/>
      <c r="G113" s="22"/>
      <c r="H113" s="25"/>
      <c r="I113" s="15" t="str">
        <f t="shared" si="7"/>
        <v/>
      </c>
      <c r="J113" s="91" t="s">
        <v>21</v>
      </c>
      <c r="K113" s="92"/>
      <c r="R113" s="60" t="str">
        <f t="shared" si="5"/>
        <v/>
      </c>
      <c r="S113" t="str">
        <f>IF(D113&lt;&gt;"",Tolerances!AA116,"")</f>
        <v/>
      </c>
      <c r="T113" t="str">
        <f>IF(D113&lt;&gt;"",Tolerances!AL116,"")</f>
        <v/>
      </c>
      <c r="U113" s="3">
        <f t="shared" si="6"/>
        <v>0</v>
      </c>
    </row>
    <row r="114" spans="2:21" x14ac:dyDescent="0.25">
      <c r="B114" s="69"/>
      <c r="C114" s="69"/>
      <c r="D114" s="89" t="str">
        <f>IF(C110&lt;&gt;"",C110,IF(HLOOKUP($F$4,Templates!$C$4:$V$124,Templates!B106+1,FALSE)=0,"",HLOOKUP($F$4,Templates!$C$4:$V$124,Templates!B108+1,FALSE)))</f>
        <v/>
      </c>
      <c r="E114" s="21"/>
      <c r="F114" s="22"/>
      <c r="G114" s="22"/>
      <c r="H114" s="25"/>
      <c r="I114" s="15" t="str">
        <f t="shared" si="7"/>
        <v/>
      </c>
      <c r="J114" s="91" t="s">
        <v>21</v>
      </c>
      <c r="K114" s="92"/>
      <c r="R114" s="60" t="str">
        <f t="shared" si="5"/>
        <v/>
      </c>
      <c r="S114" t="str">
        <f>IF(D114&lt;&gt;"",Tolerances!AA117,"")</f>
        <v/>
      </c>
      <c r="T114" t="str">
        <f>IF(D114&lt;&gt;"",Tolerances!AL117,"")</f>
        <v/>
      </c>
      <c r="U114" s="3">
        <f t="shared" si="6"/>
        <v>0</v>
      </c>
    </row>
    <row r="115" spans="2:21" x14ac:dyDescent="0.25">
      <c r="B115" s="69"/>
      <c r="C115" s="69"/>
      <c r="D115" s="89" t="str">
        <f>IF(C111&lt;&gt;"",C111,IF(HLOOKUP($F$4,Templates!$C$4:$V$124,Templates!B107+1,FALSE)=0,"",HLOOKUP($F$4,Templates!$C$4:$V$124,Templates!B109+1,FALSE)))</f>
        <v/>
      </c>
      <c r="E115" s="21"/>
      <c r="F115" s="22"/>
      <c r="G115" s="22"/>
      <c r="H115" s="25"/>
      <c r="I115" s="15" t="str">
        <f t="shared" si="7"/>
        <v/>
      </c>
      <c r="J115" s="91" t="s">
        <v>21</v>
      </c>
      <c r="K115" s="92"/>
      <c r="R115" s="60" t="str">
        <f t="shared" si="5"/>
        <v/>
      </c>
      <c r="S115" t="str">
        <f>IF(D115&lt;&gt;"",Tolerances!AA118,"")</f>
        <v/>
      </c>
      <c r="T115" t="str">
        <f>IF(D115&lt;&gt;"",Tolerances!AL118,"")</f>
        <v/>
      </c>
      <c r="U115" s="3">
        <f t="shared" si="6"/>
        <v>0</v>
      </c>
    </row>
    <row r="116" spans="2:21" x14ac:dyDescent="0.25">
      <c r="B116" s="69"/>
      <c r="C116" s="69"/>
      <c r="D116" s="89" t="str">
        <f>IF(C112&lt;&gt;"",C112,IF(HLOOKUP($F$4,Templates!$C$4:$V$124,Templates!B108+1,FALSE)=0,"",HLOOKUP($F$4,Templates!$C$4:$V$124,Templates!B110+1,FALSE)))</f>
        <v/>
      </c>
      <c r="E116" s="21"/>
      <c r="F116" s="22"/>
      <c r="G116" s="22"/>
      <c r="H116" s="25"/>
      <c r="I116" s="15" t="str">
        <f t="shared" si="7"/>
        <v/>
      </c>
      <c r="J116" s="91" t="s">
        <v>21</v>
      </c>
      <c r="K116" s="92"/>
      <c r="R116" s="60" t="str">
        <f t="shared" si="5"/>
        <v/>
      </c>
      <c r="S116" t="str">
        <f>IF(D116&lt;&gt;"",Tolerances!AA119,"")</f>
        <v/>
      </c>
      <c r="T116" t="str">
        <f>IF(D116&lt;&gt;"",Tolerances!AL119,"")</f>
        <v/>
      </c>
      <c r="U116" s="3">
        <f t="shared" si="6"/>
        <v>0</v>
      </c>
    </row>
    <row r="117" spans="2:21" x14ac:dyDescent="0.25">
      <c r="B117" s="69"/>
      <c r="C117" s="69"/>
      <c r="D117" s="89" t="str">
        <f>IF(C113&lt;&gt;"",C113,IF(HLOOKUP($F$4,Templates!$C$4:$V$124,Templates!B109+1,FALSE)=0,"",HLOOKUP($F$4,Templates!$C$4:$V$124,Templates!B111+1,FALSE)))</f>
        <v/>
      </c>
      <c r="E117" s="21"/>
      <c r="F117" s="22"/>
      <c r="G117" s="22"/>
      <c r="H117" s="25"/>
      <c r="I117" s="15" t="str">
        <f t="shared" si="7"/>
        <v/>
      </c>
      <c r="J117" s="91" t="s">
        <v>21</v>
      </c>
      <c r="K117" s="92"/>
      <c r="R117" s="60" t="str">
        <f t="shared" si="5"/>
        <v/>
      </c>
      <c r="S117" t="str">
        <f>IF(D117&lt;&gt;"",Tolerances!AA120,"")</f>
        <v/>
      </c>
      <c r="T117" t="str">
        <f>IF(D117&lt;&gt;"",Tolerances!AL120,"")</f>
        <v/>
      </c>
      <c r="U117" s="3">
        <f t="shared" si="6"/>
        <v>0</v>
      </c>
    </row>
    <row r="118" spans="2:21" x14ac:dyDescent="0.25">
      <c r="B118" s="69"/>
      <c r="C118" s="69"/>
      <c r="D118" s="89" t="str">
        <f>IF(C114&lt;&gt;"",C114,IF(HLOOKUP($F$4,Templates!$C$4:$V$124,Templates!B110+1,FALSE)=0,"",HLOOKUP($F$4,Templates!$C$4:$V$124,Templates!B112+1,FALSE)))</f>
        <v/>
      </c>
      <c r="E118" s="21"/>
      <c r="F118" s="22"/>
      <c r="G118" s="22"/>
      <c r="H118" s="25"/>
      <c r="I118" s="15" t="str">
        <f t="shared" si="7"/>
        <v/>
      </c>
      <c r="J118" s="91" t="s">
        <v>21</v>
      </c>
      <c r="K118" s="92"/>
      <c r="R118" s="60" t="str">
        <f t="shared" si="5"/>
        <v/>
      </c>
      <c r="S118" t="str">
        <f>IF(D118&lt;&gt;"",Tolerances!AA121,"")</f>
        <v/>
      </c>
      <c r="T118" t="str">
        <f>IF(D118&lt;&gt;"",Tolerances!AL121,"")</f>
        <v/>
      </c>
      <c r="U118" s="3">
        <f t="shared" si="6"/>
        <v>0</v>
      </c>
    </row>
    <row r="119" spans="2:21" x14ac:dyDescent="0.25">
      <c r="B119" s="69"/>
      <c r="C119" s="69"/>
      <c r="D119" s="89" t="str">
        <f>IF(C115&lt;&gt;"",C115,IF(HLOOKUP($F$4,Templates!$C$4:$V$124,Templates!B111+1,FALSE)=0,"",HLOOKUP($F$4,Templates!$C$4:$V$124,Templates!B113+1,FALSE)))</f>
        <v/>
      </c>
      <c r="E119" s="21"/>
      <c r="F119" s="22"/>
      <c r="G119" s="22"/>
      <c r="H119" s="25"/>
      <c r="I119" s="15" t="str">
        <f t="shared" si="7"/>
        <v/>
      </c>
      <c r="J119" s="91" t="s">
        <v>21</v>
      </c>
      <c r="K119" s="92"/>
      <c r="R119" s="60" t="str">
        <f t="shared" si="5"/>
        <v/>
      </c>
      <c r="S119" t="str">
        <f>IF(D119&lt;&gt;"",Tolerances!AA122,"")</f>
        <v/>
      </c>
      <c r="T119" t="str">
        <f>IF(D119&lt;&gt;"",Tolerances!AL122,"")</f>
        <v/>
      </c>
      <c r="U119" s="3">
        <f t="shared" si="6"/>
        <v>0</v>
      </c>
    </row>
    <row r="120" spans="2:21" x14ac:dyDescent="0.25">
      <c r="B120" s="69"/>
      <c r="C120" s="69"/>
      <c r="D120" s="89" t="str">
        <f>IF(C116&lt;&gt;"",C116,IF(HLOOKUP($F$4,Templates!$C$4:$V$124,Templates!B112+1,FALSE)=0,"",HLOOKUP($F$4,Templates!$C$4:$V$124,Templates!B114+1,FALSE)))</f>
        <v/>
      </c>
      <c r="E120" s="21"/>
      <c r="F120" s="22"/>
      <c r="G120" s="22"/>
      <c r="H120" s="25"/>
      <c r="I120" s="15" t="str">
        <f t="shared" si="7"/>
        <v/>
      </c>
      <c r="J120" s="91" t="s">
        <v>21</v>
      </c>
      <c r="K120" s="92"/>
      <c r="R120" s="60" t="str">
        <f t="shared" si="5"/>
        <v/>
      </c>
      <c r="S120" t="str">
        <f>IF(D120&lt;&gt;"",Tolerances!AA123,"")</f>
        <v/>
      </c>
      <c r="T120" t="str">
        <f>IF(D120&lt;&gt;"",Tolerances!AL123,"")</f>
        <v/>
      </c>
      <c r="U120" s="3">
        <f t="shared" si="6"/>
        <v>0</v>
      </c>
    </row>
    <row r="121" spans="2:21" x14ac:dyDescent="0.25">
      <c r="B121" s="69"/>
      <c r="C121" s="69"/>
      <c r="D121" s="89" t="str">
        <f>IF(C117&lt;&gt;"",C117,IF(HLOOKUP($F$4,Templates!$C$4:$V$124,Templates!B113+1,FALSE)=0,"",HLOOKUP($F$4,Templates!$C$4:$V$124,Templates!B115+1,FALSE)))</f>
        <v/>
      </c>
      <c r="E121" s="21"/>
      <c r="F121" s="22"/>
      <c r="G121" s="22"/>
      <c r="H121" s="25"/>
      <c r="I121" s="15" t="str">
        <f t="shared" si="7"/>
        <v/>
      </c>
      <c r="J121" s="91" t="s">
        <v>21</v>
      </c>
      <c r="K121" s="92"/>
      <c r="R121" s="60" t="str">
        <f t="shared" si="5"/>
        <v/>
      </c>
      <c r="S121" t="str">
        <f>IF(D121&lt;&gt;"",Tolerances!AA124,"")</f>
        <v/>
      </c>
      <c r="T121" t="str">
        <f>IF(D121&lt;&gt;"",Tolerances!AL124,"")</f>
        <v/>
      </c>
      <c r="U121" s="3">
        <f t="shared" si="6"/>
        <v>0</v>
      </c>
    </row>
    <row r="122" spans="2:21" x14ac:dyDescent="0.25">
      <c r="B122" s="69"/>
      <c r="C122" s="69"/>
      <c r="D122" s="89" t="str">
        <f>IF(C118&lt;&gt;"",C118,IF(HLOOKUP($F$4,Templates!$C$4:$V$124,Templates!B114+1,FALSE)=0,"",HLOOKUP($F$4,Templates!$C$4:$V$124,Templates!B116+1,FALSE)))</f>
        <v/>
      </c>
      <c r="E122" s="21"/>
      <c r="F122" s="22"/>
      <c r="G122" s="22"/>
      <c r="H122" s="25"/>
      <c r="I122" s="15" t="str">
        <f t="shared" si="7"/>
        <v/>
      </c>
      <c r="J122" s="91" t="s">
        <v>21</v>
      </c>
      <c r="K122" s="92"/>
      <c r="R122" s="60" t="str">
        <f t="shared" si="5"/>
        <v/>
      </c>
      <c r="S122" t="str">
        <f>IF(D122&lt;&gt;"",Tolerances!AA125,"")</f>
        <v/>
      </c>
      <c r="T122" t="str">
        <f>IF(D122&lt;&gt;"",Tolerances!AL125,"")</f>
        <v/>
      </c>
      <c r="U122" s="3">
        <f t="shared" si="6"/>
        <v>0</v>
      </c>
    </row>
    <row r="123" spans="2:21" x14ac:dyDescent="0.25">
      <c r="B123" s="69"/>
      <c r="C123" s="69"/>
      <c r="D123" s="89" t="str">
        <f>IF(C119&lt;&gt;"",C119,IF(HLOOKUP($F$4,Templates!$C$4:$V$124,Templates!B115+1,FALSE)=0,"",HLOOKUP($F$4,Templates!$C$4:$V$124,Templates!B117+1,FALSE)))</f>
        <v/>
      </c>
      <c r="E123" s="21"/>
      <c r="F123" s="22"/>
      <c r="G123" s="22"/>
      <c r="H123" s="25"/>
      <c r="I123" s="15" t="str">
        <f t="shared" si="7"/>
        <v/>
      </c>
      <c r="J123" s="91" t="s">
        <v>21</v>
      </c>
      <c r="K123" s="92"/>
      <c r="R123" s="60" t="str">
        <f t="shared" si="5"/>
        <v/>
      </c>
      <c r="S123" t="str">
        <f>IF(D123&lt;&gt;"",Tolerances!AA126,"")</f>
        <v/>
      </c>
      <c r="T123" t="str">
        <f>IF(D123&lt;&gt;"",Tolerances!AL126,"")</f>
        <v/>
      </c>
      <c r="U123" s="3">
        <f t="shared" si="6"/>
        <v>0</v>
      </c>
    </row>
    <row r="124" spans="2:21" x14ac:dyDescent="0.25">
      <c r="B124" s="69"/>
      <c r="C124" s="69"/>
      <c r="D124" s="89" t="str">
        <f>IF(C120&lt;&gt;"",C120,IF(HLOOKUP($F$4,Templates!$C$4:$V$124,Templates!B116+1,FALSE)=0,"",HLOOKUP($F$4,Templates!$C$4:$V$124,Templates!B118+1,FALSE)))</f>
        <v/>
      </c>
      <c r="E124" s="21"/>
      <c r="F124" s="22"/>
      <c r="G124" s="22"/>
      <c r="H124" s="25"/>
      <c r="I124" s="15" t="str">
        <f t="shared" si="7"/>
        <v/>
      </c>
      <c r="J124" s="91" t="s">
        <v>21</v>
      </c>
      <c r="K124" s="92"/>
      <c r="R124" s="60" t="str">
        <f t="shared" si="5"/>
        <v/>
      </c>
      <c r="S124" t="str">
        <f>IF(D124&lt;&gt;"",Tolerances!AA127,"")</f>
        <v/>
      </c>
      <c r="T124" t="str">
        <f>IF(D124&lt;&gt;"",Tolerances!AL127,"")</f>
        <v/>
      </c>
      <c r="U124" s="3">
        <f t="shared" si="6"/>
        <v>0</v>
      </c>
    </row>
    <row r="125" spans="2:21" x14ac:dyDescent="0.25">
      <c r="B125" s="69"/>
      <c r="C125" s="69"/>
      <c r="D125" s="89" t="str">
        <f>IF(C121&lt;&gt;"",C121,IF(HLOOKUP($F$4,Templates!$C$4:$V$124,Templates!B117+1,FALSE)=0,"",HLOOKUP($F$4,Templates!$C$4:$V$124,Templates!B119+1,FALSE)))</f>
        <v/>
      </c>
      <c r="E125" s="21"/>
      <c r="F125" s="22"/>
      <c r="G125" s="22"/>
      <c r="H125" s="25"/>
      <c r="I125" s="15" t="str">
        <f t="shared" si="7"/>
        <v/>
      </c>
      <c r="J125" s="91" t="s">
        <v>21</v>
      </c>
      <c r="K125" s="92"/>
      <c r="R125" s="60" t="str">
        <f t="shared" si="5"/>
        <v/>
      </c>
      <c r="S125" t="str">
        <f>IF(D125&lt;&gt;"",Tolerances!AA128,"")</f>
        <v/>
      </c>
      <c r="T125" t="str">
        <f>IF(D125&lt;&gt;"",Tolerances!AL128,"")</f>
        <v/>
      </c>
      <c r="U125" s="3">
        <f t="shared" si="6"/>
        <v>0</v>
      </c>
    </row>
    <row r="126" spans="2:21" x14ac:dyDescent="0.25">
      <c r="B126" s="69"/>
      <c r="C126" s="69"/>
      <c r="D126" s="89" t="str">
        <f>IF(C122&lt;&gt;"",C122,IF(HLOOKUP($F$4,Templates!$C$4:$V$124,Templates!B118+1,FALSE)=0,"",HLOOKUP($F$4,Templates!$C$4:$V$124,Templates!B120+1,FALSE)))</f>
        <v/>
      </c>
      <c r="E126" s="21"/>
      <c r="F126" s="22"/>
      <c r="G126" s="22"/>
      <c r="H126" s="25"/>
      <c r="I126" s="15" t="str">
        <f t="shared" si="7"/>
        <v/>
      </c>
      <c r="J126" s="91" t="s">
        <v>21</v>
      </c>
      <c r="K126" s="92"/>
      <c r="R126" s="60" t="str">
        <f t="shared" si="5"/>
        <v/>
      </c>
      <c r="S126" t="str">
        <f>IF(D126&lt;&gt;"",Tolerances!AA129,"")</f>
        <v/>
      </c>
      <c r="T126" t="str">
        <f>IF(D126&lt;&gt;"",Tolerances!AL129,"")</f>
        <v/>
      </c>
      <c r="U126" s="3">
        <f t="shared" si="6"/>
        <v>0</v>
      </c>
    </row>
    <row r="127" spans="2:21" x14ac:dyDescent="0.25">
      <c r="B127" s="69"/>
      <c r="C127" s="69"/>
      <c r="D127" s="89" t="str">
        <f>IF(C123&lt;&gt;"",C123,IF(HLOOKUP($F$4,Templates!$C$4:$V$124,Templates!B119+1,FALSE)=0,"",HLOOKUP($F$4,Templates!$C$4:$V$124,Templates!B121+1,FALSE)))</f>
        <v/>
      </c>
      <c r="E127" s="21"/>
      <c r="F127" s="22"/>
      <c r="G127" s="22"/>
      <c r="H127" s="25"/>
      <c r="I127" s="15" t="str">
        <f t="shared" si="7"/>
        <v/>
      </c>
      <c r="J127" s="91" t="s">
        <v>21</v>
      </c>
      <c r="K127" s="92"/>
      <c r="R127" s="60" t="str">
        <f t="shared" si="5"/>
        <v/>
      </c>
      <c r="S127" t="str">
        <f>IF(D127&lt;&gt;"",Tolerances!AA130,"")</f>
        <v/>
      </c>
      <c r="T127" t="str">
        <f>IF(D127&lt;&gt;"",Tolerances!AL130,"")</f>
        <v/>
      </c>
      <c r="U127" s="3">
        <f t="shared" si="6"/>
        <v>0</v>
      </c>
    </row>
    <row r="128" spans="2:21" x14ac:dyDescent="0.25">
      <c r="B128" s="69"/>
      <c r="C128" s="69"/>
      <c r="D128" s="89" t="str">
        <f>IF(C124&lt;&gt;"",C124,IF(HLOOKUP($F$4,Templates!$C$4:$V$124,Templates!B120+1,FALSE)=0,"",HLOOKUP($F$4,Templates!$C$4:$V$124,Templates!B122+1,FALSE)))</f>
        <v/>
      </c>
      <c r="E128" s="21"/>
      <c r="F128" s="22"/>
      <c r="G128" s="22"/>
      <c r="H128" s="25"/>
      <c r="I128" s="15" t="str">
        <f t="shared" si="7"/>
        <v/>
      </c>
      <c r="J128" s="91" t="s">
        <v>21</v>
      </c>
      <c r="K128" s="92"/>
      <c r="R128" s="60" t="str">
        <f t="shared" si="5"/>
        <v/>
      </c>
      <c r="S128" t="str">
        <f>IF(D128&lt;&gt;"",Tolerances!AA131,"")</f>
        <v/>
      </c>
      <c r="T128" t="str">
        <f>IF(D128&lt;&gt;"",Tolerances!AL131,"")</f>
        <v/>
      </c>
      <c r="U128" s="3">
        <f t="shared" si="6"/>
        <v>0</v>
      </c>
    </row>
    <row r="129" spans="2:21" x14ac:dyDescent="0.25">
      <c r="B129" s="69"/>
      <c r="C129" s="69"/>
      <c r="D129" s="89" t="str">
        <f>IF(C125&lt;&gt;"",C125,IF(HLOOKUP($F$4,Templates!$C$4:$V$124,Templates!B121+1,FALSE)=0,"",HLOOKUP($F$4,Templates!$C$4:$V$124,Templates!B123+1,FALSE)))</f>
        <v/>
      </c>
      <c r="E129" s="21"/>
      <c r="F129" s="22"/>
      <c r="G129" s="22"/>
      <c r="H129" s="25"/>
      <c r="I129" s="15" t="str">
        <f t="shared" si="7"/>
        <v/>
      </c>
      <c r="J129" s="91" t="s">
        <v>21</v>
      </c>
      <c r="K129" s="92"/>
      <c r="R129" s="60" t="str">
        <f t="shared" si="5"/>
        <v/>
      </c>
      <c r="S129" t="str">
        <f>IF(D129&lt;&gt;"",Tolerances!AA132,"")</f>
        <v/>
      </c>
      <c r="T129" t="str">
        <f>IF(D129&lt;&gt;"",Tolerances!AL132,"")</f>
        <v/>
      </c>
      <c r="U129" s="3">
        <f t="shared" si="6"/>
        <v>0</v>
      </c>
    </row>
    <row r="130" spans="2:21" x14ac:dyDescent="0.25">
      <c r="B130" s="69"/>
      <c r="C130" s="69"/>
      <c r="D130" s="89" t="str">
        <f>IF(C126&lt;&gt;"",C126,IF(HLOOKUP($F$4,Templates!$C$4:$V$124,Templates!B122+1,FALSE)=0,"",HLOOKUP($F$4,Templates!$C$4:$V$124,Templates!B124+1,FALSE)))</f>
        <v/>
      </c>
      <c r="E130" s="21"/>
      <c r="F130" s="22"/>
      <c r="G130" s="22"/>
      <c r="H130" s="25"/>
      <c r="I130" s="15" t="str">
        <f t="shared" si="7"/>
        <v/>
      </c>
      <c r="J130" s="91" t="s">
        <v>21</v>
      </c>
      <c r="K130" s="92"/>
      <c r="R130" s="60" t="str">
        <f t="shared" si="5"/>
        <v/>
      </c>
      <c r="S130" t="str">
        <f>IF(D130&lt;&gt;"",Tolerances!AA133,"")</f>
        <v/>
      </c>
      <c r="T130" t="str">
        <f>IF(D130&lt;&gt;"",Tolerances!AL133,"")</f>
        <v/>
      </c>
      <c r="U130" s="3">
        <f t="shared" si="6"/>
        <v>0</v>
      </c>
    </row>
    <row r="131" spans="2:21" x14ac:dyDescent="0.25">
      <c r="B131" s="69"/>
      <c r="C131" s="69"/>
      <c r="D131" s="89" t="str">
        <f>IF(C127&lt;&gt;"",C127,IF(HLOOKUP($F$4,Templates!$C$4:$V$130,Templates!B123+1,FALSE)=0,"",HLOOKUP($F$4,Templates!$C$4:$V$130,Templates!B125+1,FALSE)))</f>
        <v/>
      </c>
      <c r="E131" s="21"/>
      <c r="F131" s="22"/>
      <c r="G131" s="22"/>
      <c r="H131" s="25"/>
      <c r="I131" s="15" t="str">
        <f t="shared" si="7"/>
        <v/>
      </c>
      <c r="J131" s="91" t="s">
        <v>21</v>
      </c>
      <c r="K131" s="92"/>
      <c r="R131" s="60" t="str">
        <f t="shared" si="5"/>
        <v/>
      </c>
      <c r="S131" t="str">
        <f>IF(D131&lt;&gt;"",Tolerances!AA134,"")</f>
        <v/>
      </c>
      <c r="T131" t="str">
        <f>IF(D131&lt;&gt;"",Tolerances!AL134,"")</f>
        <v/>
      </c>
      <c r="U131" s="3">
        <f t="shared" si="6"/>
        <v>0</v>
      </c>
    </row>
    <row r="132" spans="2:21" x14ac:dyDescent="0.25">
      <c r="B132" s="69"/>
      <c r="C132" s="69"/>
      <c r="D132" s="89" t="str">
        <f>IF(C128&lt;&gt;"",C128,IF(HLOOKUP($F$4,Templates!$C$4:$V$130,Templates!B124+1,FALSE)=0,"",HLOOKUP($F$4,Templates!$C$4:$V$130,Templates!B126+1,FALSE)))</f>
        <v/>
      </c>
      <c r="E132" s="21"/>
      <c r="F132" s="22"/>
      <c r="G132" s="22"/>
      <c r="H132" s="25"/>
      <c r="I132" s="15" t="str">
        <f t="shared" si="7"/>
        <v/>
      </c>
      <c r="J132" s="91" t="s">
        <v>21</v>
      </c>
      <c r="K132" s="92"/>
      <c r="R132" s="60" t="str">
        <f t="shared" si="5"/>
        <v/>
      </c>
      <c r="S132" t="str">
        <f>IF(D132&lt;&gt;"",Tolerances!AA135,"")</f>
        <v/>
      </c>
      <c r="T132" t="str">
        <f>IF(D132&lt;&gt;"",Tolerances!AL135,"")</f>
        <v/>
      </c>
      <c r="U132" s="3">
        <f t="shared" si="6"/>
        <v>0</v>
      </c>
    </row>
    <row r="133" spans="2:21" x14ac:dyDescent="0.25">
      <c r="B133" s="69"/>
      <c r="C133" s="69"/>
      <c r="D133" s="89" t="str">
        <f>IF(C129&lt;&gt;"",C129,IF(HLOOKUP($F$4,Templates!$C$4:$V$130,Templates!B125+1,FALSE)=0,"",HLOOKUP($F$4,Templates!$C$4:$V$130,Templates!B127+1,FALSE)))</f>
        <v/>
      </c>
      <c r="E133" s="21"/>
      <c r="F133" s="22"/>
      <c r="G133" s="22"/>
      <c r="H133" s="25"/>
      <c r="I133" s="15" t="str">
        <f t="shared" si="7"/>
        <v/>
      </c>
      <c r="J133" s="91" t="s">
        <v>21</v>
      </c>
      <c r="K133" s="92"/>
      <c r="R133" s="60" t="str">
        <f t="shared" si="5"/>
        <v/>
      </c>
      <c r="S133" t="str">
        <f>IF(D133&lt;&gt;"",Tolerances!AA136,"")</f>
        <v/>
      </c>
      <c r="T133" t="str">
        <f>IF(D133&lt;&gt;"",Tolerances!AL136,"")</f>
        <v/>
      </c>
      <c r="U133" s="3">
        <f t="shared" si="6"/>
        <v>0</v>
      </c>
    </row>
    <row r="134" spans="2:21" x14ac:dyDescent="0.25">
      <c r="B134" s="69"/>
      <c r="C134" s="69"/>
      <c r="D134" s="89" t="str">
        <f>IF(C130&lt;&gt;"",C130,IF(HLOOKUP($F$4,Templates!$C$4:$V$130,Templates!B126+1,FALSE)=0,"",HLOOKUP($F$4,Templates!$C$4:$V$130,Templates!B128+1,FALSE)))</f>
        <v/>
      </c>
      <c r="E134" s="21"/>
      <c r="F134" s="21"/>
      <c r="G134" s="21"/>
      <c r="H134" s="23"/>
      <c r="I134" s="15" t="str">
        <f t="shared" si="7"/>
        <v/>
      </c>
      <c r="J134" s="91" t="s">
        <v>21</v>
      </c>
      <c r="K134" s="92"/>
      <c r="R134" s="60" t="str">
        <f t="shared" si="5"/>
        <v/>
      </c>
      <c r="S134" t="str">
        <f>IF(D134&lt;&gt;"",Tolerances!AA137,"")</f>
        <v/>
      </c>
      <c r="T134" t="str">
        <f>IF(D134&lt;&gt;"",Tolerances!AL137,"")</f>
        <v/>
      </c>
      <c r="U134" s="3">
        <f t="shared" si="6"/>
        <v>0</v>
      </c>
    </row>
    <row r="135" spans="2:21" x14ac:dyDescent="0.25">
      <c r="B135" s="69"/>
      <c r="C135" s="69"/>
      <c r="D135" s="89" t="str">
        <f>IF(C131&lt;&gt;"",C131,IF(HLOOKUP($F$4,Templates!$C$4:$V$130,Templates!B127+1,FALSE)=0,"",HLOOKUP($F$4,Templates!$C$4:$V$130,Templates!B129+1,FALSE)))</f>
        <v/>
      </c>
      <c r="E135" s="21"/>
      <c r="F135" s="21"/>
      <c r="G135" s="21"/>
      <c r="H135" s="25"/>
      <c r="I135" s="15" t="str">
        <f t="shared" si="7"/>
        <v/>
      </c>
      <c r="J135" s="91" t="s">
        <v>21</v>
      </c>
      <c r="K135" s="92"/>
      <c r="R135" s="60" t="str">
        <f t="shared" ref="R135:R136" si="8">IF(ISERROR(VALUE(D135)),"",VALUE(D135))</f>
        <v/>
      </c>
      <c r="S135" t="str">
        <f>IF(D135&lt;&gt;"",Tolerances!AA138,"")</f>
        <v/>
      </c>
      <c r="T135" t="str">
        <f>IF(D135&lt;&gt;"",Tolerances!AL138,"")</f>
        <v/>
      </c>
      <c r="U135" s="3">
        <f t="shared" ref="U135:U136" si="9">IF(ABS(MAX(E135:H135))&gt;ABS(MIN(E135:H135)),MAX(E135:H135),MIN(E135:H135))</f>
        <v>0</v>
      </c>
    </row>
    <row r="136" spans="2:21" x14ac:dyDescent="0.25">
      <c r="B136" s="70"/>
      <c r="C136" s="70"/>
      <c r="D136" s="89" t="str">
        <f>IF(C132&lt;&gt;"",C132,IF(HLOOKUP($F$4,Templates!$C$4:$V$130,Templates!B128+1,FALSE)=0,"",HLOOKUP($F$4,Templates!$C$4:$V$130,Templates!B130+1,FALSE)))</f>
        <v/>
      </c>
      <c r="E136" s="21"/>
      <c r="F136" s="21"/>
      <c r="G136" s="21"/>
      <c r="H136" s="25"/>
      <c r="I136" s="15" t="str">
        <f t="shared" si="7"/>
        <v/>
      </c>
      <c r="J136" s="91" t="s">
        <v>21</v>
      </c>
      <c r="K136" s="92"/>
      <c r="R136" s="60" t="str">
        <f t="shared" si="8"/>
        <v/>
      </c>
      <c r="S136" t="str">
        <f>IF(D136&lt;&gt;"",Tolerances!AA139,"")</f>
        <v/>
      </c>
      <c r="T136" t="str">
        <f>IF(D136&lt;&gt;"",Tolerances!AL139,"")</f>
        <v/>
      </c>
      <c r="U136" s="3">
        <f t="shared" si="9"/>
        <v>0</v>
      </c>
    </row>
    <row r="137" spans="2:21" x14ac:dyDescent="0.25">
      <c r="B137" s="67"/>
      <c r="C137" s="67"/>
      <c r="D137" s="9"/>
      <c r="E137" s="9"/>
      <c r="F137" s="9"/>
      <c r="G137" s="9"/>
      <c r="H137" s="9"/>
      <c r="I137" s="9"/>
      <c r="J137" s="55"/>
      <c r="K137" s="55"/>
    </row>
  </sheetData>
  <sheetProtection algorithmName="SHA-512" hashValue="En/r9WOPjn39SW7kJgSZbTG29zENU133Kd0uqD0ylmpApjuQpW6R3FUf+wW7h8QzE+2Z/o5Fai3TJQJRIO3e6Q==" saltValue="kaRIbujpTnErFg+1hTobLw==" spinCount="100000" sheet="1" selectLockedCells="1"/>
  <mergeCells count="129">
    <mergeCell ref="J5:K5"/>
    <mergeCell ref="J47:K47"/>
    <mergeCell ref="J93:K93"/>
    <mergeCell ref="J6:K6"/>
    <mergeCell ref="J7:K7"/>
    <mergeCell ref="J8:K8"/>
    <mergeCell ref="J9:K9"/>
    <mergeCell ref="J16:K16"/>
    <mergeCell ref="J17:K17"/>
    <mergeCell ref="J18:K18"/>
    <mergeCell ref="J19:K19"/>
    <mergeCell ref="J20:K20"/>
    <mergeCell ref="J21:K21"/>
    <mergeCell ref="J10:K10"/>
    <mergeCell ref="J11:K11"/>
    <mergeCell ref="J12:K12"/>
    <mergeCell ref="J13:K13"/>
    <mergeCell ref="J14:K14"/>
    <mergeCell ref="J15:K15"/>
    <mergeCell ref="J28:K28"/>
    <mergeCell ref="J29:K29"/>
    <mergeCell ref="J30:K30"/>
    <mergeCell ref="J31:K31"/>
    <mergeCell ref="J32:K32"/>
    <mergeCell ref="J33:K33"/>
    <mergeCell ref="J22:K22"/>
    <mergeCell ref="J23:K23"/>
    <mergeCell ref="J24:K24"/>
    <mergeCell ref="J25:K25"/>
    <mergeCell ref="J26:K26"/>
    <mergeCell ref="J27:K27"/>
    <mergeCell ref="J40:K40"/>
    <mergeCell ref="J41:K41"/>
    <mergeCell ref="J42:K42"/>
    <mergeCell ref="J43:K43"/>
    <mergeCell ref="J44:K44"/>
    <mergeCell ref="J45:K45"/>
    <mergeCell ref="J34:K34"/>
    <mergeCell ref="J35:K35"/>
    <mergeCell ref="J36:K36"/>
    <mergeCell ref="J37:K37"/>
    <mergeCell ref="J38:K38"/>
    <mergeCell ref="J39:K39"/>
    <mergeCell ref="J54:K54"/>
    <mergeCell ref="J55:K55"/>
    <mergeCell ref="J56:K56"/>
    <mergeCell ref="J57:K57"/>
    <mergeCell ref="J58:K58"/>
    <mergeCell ref="J59:K59"/>
    <mergeCell ref="J48:K48"/>
    <mergeCell ref="J49:K49"/>
    <mergeCell ref="J50:K50"/>
    <mergeCell ref="J51:K51"/>
    <mergeCell ref="J52:K52"/>
    <mergeCell ref="J53:K53"/>
    <mergeCell ref="J66:K66"/>
    <mergeCell ref="J67:K67"/>
    <mergeCell ref="J68:K68"/>
    <mergeCell ref="J69:K69"/>
    <mergeCell ref="J70:K70"/>
    <mergeCell ref="J71:K71"/>
    <mergeCell ref="J60:K60"/>
    <mergeCell ref="J61:K61"/>
    <mergeCell ref="J62:K62"/>
    <mergeCell ref="J63:K63"/>
    <mergeCell ref="J64:K64"/>
    <mergeCell ref="J65:K65"/>
    <mergeCell ref="J78:K78"/>
    <mergeCell ref="J79:K79"/>
    <mergeCell ref="J80:K80"/>
    <mergeCell ref="J81:K81"/>
    <mergeCell ref="J82:K82"/>
    <mergeCell ref="J83:K83"/>
    <mergeCell ref="J72:K72"/>
    <mergeCell ref="J73:K73"/>
    <mergeCell ref="J74:K74"/>
    <mergeCell ref="J75:K75"/>
    <mergeCell ref="J76:K76"/>
    <mergeCell ref="J77:K77"/>
    <mergeCell ref="J90:K90"/>
    <mergeCell ref="J94:K94"/>
    <mergeCell ref="J95:K95"/>
    <mergeCell ref="J96:K96"/>
    <mergeCell ref="J97:K97"/>
    <mergeCell ref="J98:K98"/>
    <mergeCell ref="J84:K84"/>
    <mergeCell ref="J85:K85"/>
    <mergeCell ref="J86:K86"/>
    <mergeCell ref="J87:K87"/>
    <mergeCell ref="J88:K88"/>
    <mergeCell ref="J89:K89"/>
    <mergeCell ref="J105:K105"/>
    <mergeCell ref="J106:K106"/>
    <mergeCell ref="J107:K107"/>
    <mergeCell ref="J108:K108"/>
    <mergeCell ref="J109:K109"/>
    <mergeCell ref="J110:K110"/>
    <mergeCell ref="J99:K99"/>
    <mergeCell ref="J100:K100"/>
    <mergeCell ref="J101:K101"/>
    <mergeCell ref="J102:K102"/>
    <mergeCell ref="J103:K103"/>
    <mergeCell ref="J104:K104"/>
    <mergeCell ref="J117:K117"/>
    <mergeCell ref="J118:K118"/>
    <mergeCell ref="J119:K119"/>
    <mergeCell ref="J120:K120"/>
    <mergeCell ref="J121:K121"/>
    <mergeCell ref="J122:K122"/>
    <mergeCell ref="J111:K111"/>
    <mergeCell ref="J112:K112"/>
    <mergeCell ref="J113:K113"/>
    <mergeCell ref="J114:K114"/>
    <mergeCell ref="J115:K115"/>
    <mergeCell ref="J116:K116"/>
    <mergeCell ref="J135:K135"/>
    <mergeCell ref="J136:K136"/>
    <mergeCell ref="J129:K129"/>
    <mergeCell ref="J130:K130"/>
    <mergeCell ref="J131:K131"/>
    <mergeCell ref="J132:K132"/>
    <mergeCell ref="J133:K133"/>
    <mergeCell ref="J134:K134"/>
    <mergeCell ref="J123:K123"/>
    <mergeCell ref="J124:K124"/>
    <mergeCell ref="J125:K125"/>
    <mergeCell ref="J126:K126"/>
    <mergeCell ref="J127:K127"/>
    <mergeCell ref="J128:K128"/>
  </mergeCells>
  <phoneticPr fontId="18" type="noConversion"/>
  <conditionalFormatting sqref="E6:E45">
    <cfRule type="cellIs" dxfId="14" priority="2" operator="notBetween">
      <formula>$S6</formula>
      <formula>(-$S6)</formula>
    </cfRule>
  </conditionalFormatting>
  <conditionalFormatting sqref="E48:E90">
    <cfRule type="cellIs" dxfId="13" priority="1" operator="notBetween">
      <formula>$S48</formula>
      <formula>(-$S48)</formula>
    </cfRule>
  </conditionalFormatting>
  <conditionalFormatting sqref="E94:E136">
    <cfRule type="cellIs" dxfId="12" priority="8" operator="notBetween">
      <formula>$S94</formula>
      <formula>(-$S94)</formula>
    </cfRule>
  </conditionalFormatting>
  <conditionalFormatting sqref="I6:I45">
    <cfRule type="cellIs" dxfId="11" priority="7" operator="notBetween">
      <formula>$T6</formula>
      <formula>-($T6)</formula>
    </cfRule>
  </conditionalFormatting>
  <conditionalFormatting sqref="I48:I90">
    <cfRule type="cellIs" dxfId="10" priority="4" operator="notBetween">
      <formula>$T48</formula>
      <formula>-($T48)</formula>
    </cfRule>
  </conditionalFormatting>
  <conditionalFormatting sqref="I94:I136">
    <cfRule type="cellIs" dxfId="9" priority="3" operator="notBetween">
      <formula>$T94</formula>
      <formula>-($T94)</formula>
    </cfRule>
  </conditionalFormatting>
  <pageMargins left="0.7" right="0.7" top="0.75" bottom="0.75" header="0.3" footer="0.3"/>
  <pageSetup scale="66" orientation="portrait" horizontalDpi="300" verticalDpi="300" r:id="rId1"/>
  <rowBreaks count="2" manualBreakCount="2">
    <brk id="45" max="18" man="1"/>
    <brk id="91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 altText="">
                <anchor moveWithCells="1">
                  <from>
                    <xdr:col>7</xdr:col>
                    <xdr:colOff>257175</xdr:colOff>
                    <xdr:row>2</xdr:row>
                    <xdr:rowOff>200025</xdr:rowOff>
                  </from>
                  <to>
                    <xdr:col>9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43"/>
  <sheetViews>
    <sheetView view="pageBreakPreview" zoomScale="110" zoomScaleNormal="140" zoomScaleSheetLayoutView="110" workbookViewId="0">
      <selection activeCell="B7" sqref="B7"/>
    </sheetView>
  </sheetViews>
  <sheetFormatPr defaultRowHeight="15" x14ac:dyDescent="0.25"/>
  <cols>
    <col min="1" max="1" width="7.28515625" style="9" customWidth="1"/>
    <col min="2" max="2" width="9.85546875" style="63" customWidth="1"/>
    <col min="3" max="3" width="12.28515625" customWidth="1"/>
    <col min="4" max="4" width="10.28515625" customWidth="1"/>
    <col min="5" max="5" width="11.28515625" customWidth="1"/>
    <col min="6" max="6" width="12.140625" customWidth="1"/>
    <col min="7" max="7" width="9.42578125" customWidth="1"/>
    <col min="8" max="8" width="8.28515625" customWidth="1"/>
    <col min="9" max="9" width="1.85546875" style="10" customWidth="1"/>
    <col min="10" max="10" width="5" style="10" customWidth="1"/>
    <col min="11" max="11" width="1.85546875" style="10" customWidth="1"/>
  </cols>
  <sheetData>
    <row r="1" spans="2:11" ht="15.75" customHeight="1" x14ac:dyDescent="0.25">
      <c r="C1" s="100" t="s">
        <v>29</v>
      </c>
      <c r="D1" s="100"/>
      <c r="E1" s="100"/>
      <c r="F1" s="100"/>
      <c r="G1" s="100"/>
      <c r="H1" t="s">
        <v>28</v>
      </c>
      <c r="I1" s="6">
        <v>2</v>
      </c>
      <c r="J1" s="10" t="s">
        <v>30</v>
      </c>
      <c r="K1" s="10">
        <f>IF(AND(OR(C51&lt;&gt;"",C52&lt;&gt;"",C53&lt;&gt;"",C54&lt;&gt;"",C55&lt;&gt;""),OR(C100&lt;&gt;"",C101&lt;&gt;"",C102&lt;&gt;"",C103&lt;&gt;"",C104&lt;&gt;"")),4,IF(AND(OR(C51&lt;&gt;"",C52&lt;&gt;"",C53&lt;&gt;"",C54&lt;&gt;"",C55&lt;&gt;""),AND(C100="",C101="",C102="",C103="",C104="")),3,2))</f>
        <v>2</v>
      </c>
    </row>
    <row r="2" spans="2:11" ht="18" customHeight="1" x14ac:dyDescent="0.25">
      <c r="C2" s="98" t="s">
        <v>31</v>
      </c>
      <c r="D2" s="98"/>
      <c r="E2" s="98"/>
      <c r="F2" s="98"/>
      <c r="G2" s="98"/>
      <c r="H2" s="76"/>
    </row>
    <row r="3" spans="2:11" ht="15.75" x14ac:dyDescent="0.25">
      <c r="B3" s="2" t="s">
        <v>32</v>
      </c>
      <c r="C3" s="80" t="str">
        <f>IF(Worksheet!$E$2&lt;&gt;"",Worksheet!$E$2,"")</f>
        <v xml:space="preserve"> </v>
      </c>
      <c r="D3" s="2" t="s">
        <v>33</v>
      </c>
      <c r="E3" s="77" t="str">
        <f>IF(Worksheet!$H$2&lt;&gt;"",Worksheet!$H$2,"")</f>
        <v xml:space="preserve"> </v>
      </c>
      <c r="F3" s="2" t="s">
        <v>0</v>
      </c>
      <c r="G3" s="99" t="str">
        <f>IF(Worksheet!$E$1&lt;&gt;"",Worksheet!$E$1,"")</f>
        <v xml:space="preserve"> </v>
      </c>
      <c r="H3" s="99"/>
    </row>
    <row r="4" spans="2:11" x14ac:dyDescent="0.25">
      <c r="C4" s="1"/>
      <c r="E4" s="1"/>
      <c r="F4" s="1"/>
      <c r="G4" s="1"/>
      <c r="H4" s="5"/>
    </row>
    <row r="5" spans="2:11" ht="26.25" x14ac:dyDescent="0.25">
      <c r="B5" s="59" t="s">
        <v>34</v>
      </c>
      <c r="C5" s="4" t="s">
        <v>24</v>
      </c>
      <c r="D5" s="4" t="s">
        <v>35</v>
      </c>
      <c r="E5" s="4" t="s">
        <v>36</v>
      </c>
      <c r="F5" s="4" t="s">
        <v>37</v>
      </c>
      <c r="G5" s="101" t="s">
        <v>16</v>
      </c>
      <c r="H5" s="101"/>
    </row>
    <row r="6" spans="2:11" x14ac:dyDescent="0.25">
      <c r="B6" s="78" t="str">
        <f>IF(Worksheet!B6&lt;&gt;"",Worksheet!B6,"")</f>
        <v xml:space="preserve"> </v>
      </c>
      <c r="C6" s="14" t="str">
        <f>IF(Worksheet!D6&lt;&gt;"",Worksheet!D6,"")</f>
        <v/>
      </c>
      <c r="D6" s="29" t="str">
        <f>IF(Worksheet!E6&lt;&gt;"",Worksheet!U6,"")</f>
        <v/>
      </c>
      <c r="E6" s="17" t="str">
        <f>IF(AND(Worksheet!E6&lt;&gt;"",Worksheet!F6&lt;&gt;"",Worksheet!G6&lt;&gt;""),Worksheet!I6,"")</f>
        <v/>
      </c>
      <c r="F6" s="58" t="str">
        <f>IF(Worksheet!E6&lt;&gt;"",Uncertainties!L5,"")</f>
        <v/>
      </c>
      <c r="G6" s="96" t="str">
        <f>IF(Worksheet!J6&lt;&gt;"",Worksheet!J6,"")</f>
        <v/>
      </c>
      <c r="H6" s="97"/>
    </row>
    <row r="7" spans="2:11" x14ac:dyDescent="0.25">
      <c r="B7" s="78" t="str">
        <f>IF(Worksheet!B7&lt;&gt;"",Worksheet!B7,"")</f>
        <v xml:space="preserve"> </v>
      </c>
      <c r="C7" s="14" t="str">
        <f>IF(Worksheet!D7&lt;&gt;"",Worksheet!D7,"")</f>
        <v/>
      </c>
      <c r="D7" s="29" t="str">
        <f>IF(Worksheet!E7&lt;&gt;"",Worksheet!U7,"")</f>
        <v/>
      </c>
      <c r="E7" s="17" t="str">
        <f>IF(AND(Worksheet!E7&lt;&gt;"",Worksheet!F7&lt;&gt;"",Worksheet!G7&lt;&gt;""),Worksheet!I7,"")</f>
        <v/>
      </c>
      <c r="F7" s="58" t="str">
        <f>IF(Worksheet!E7&lt;&gt;"",Uncertainties!L6,"")</f>
        <v/>
      </c>
      <c r="G7" s="96" t="str">
        <f>IF(Worksheet!J7&lt;&gt;"",Worksheet!J7,"")</f>
        <v/>
      </c>
      <c r="H7" s="97"/>
    </row>
    <row r="8" spans="2:11" x14ac:dyDescent="0.25">
      <c r="B8" s="78" t="str">
        <f>IF(Worksheet!B8&lt;&gt;"",Worksheet!B8,"")</f>
        <v xml:space="preserve"> </v>
      </c>
      <c r="C8" s="14" t="str">
        <f>IF(Worksheet!D8&lt;&gt;"",Worksheet!D8,"")</f>
        <v/>
      </c>
      <c r="D8" s="29" t="str">
        <f>IF(Worksheet!E8&lt;&gt;"",Worksheet!U8,"")</f>
        <v/>
      </c>
      <c r="E8" s="17" t="str">
        <f>IF(AND(Worksheet!E8&lt;&gt;"",Worksheet!F8&lt;&gt;"",Worksheet!G8&lt;&gt;""),Worksheet!I8,"")</f>
        <v/>
      </c>
      <c r="F8" s="58" t="str">
        <f>IF(Worksheet!E8&lt;&gt;"",Uncertainties!L7,"")</f>
        <v/>
      </c>
      <c r="G8" s="96" t="str">
        <f>IF(Worksheet!J8&lt;&gt;"",Worksheet!J8,"")</f>
        <v/>
      </c>
      <c r="H8" s="97"/>
    </row>
    <row r="9" spans="2:11" x14ac:dyDescent="0.25">
      <c r="B9" s="78" t="str">
        <f>IF(Worksheet!B9&lt;&gt;"",Worksheet!B9,"")</f>
        <v xml:space="preserve"> </v>
      </c>
      <c r="C9" s="14" t="str">
        <f>IF(Worksheet!D9&lt;&gt;"",Worksheet!D9,"")</f>
        <v/>
      </c>
      <c r="D9" s="29" t="str">
        <f>IF(Worksheet!E9&lt;&gt;"",Worksheet!U9,"")</f>
        <v/>
      </c>
      <c r="E9" s="17" t="str">
        <f>IF(AND(Worksheet!E9&lt;&gt;"",Worksheet!F9&lt;&gt;"",Worksheet!G9&lt;&gt;""),Worksheet!I9,"")</f>
        <v/>
      </c>
      <c r="F9" s="58" t="str">
        <f>IF(Worksheet!E9&lt;&gt;"",Uncertainties!L8,"")</f>
        <v/>
      </c>
      <c r="G9" s="96" t="str">
        <f>IF(Worksheet!J9&lt;&gt;"",Worksheet!J9,"")</f>
        <v/>
      </c>
      <c r="H9" s="97"/>
    </row>
    <row r="10" spans="2:11" x14ac:dyDescent="0.25">
      <c r="B10" s="78" t="str">
        <f>IF(Worksheet!B10&lt;&gt;"",Worksheet!B10,"")</f>
        <v xml:space="preserve"> </v>
      </c>
      <c r="C10" s="14" t="str">
        <f>IF(Worksheet!D10&lt;&gt;"",Worksheet!D10,"")</f>
        <v/>
      </c>
      <c r="D10" s="29" t="str">
        <f>IF(Worksheet!E10&lt;&gt;"",Worksheet!U10,"")</f>
        <v/>
      </c>
      <c r="E10" s="17" t="str">
        <f>IF(AND(Worksheet!E10&lt;&gt;"",Worksheet!F10&lt;&gt;"",Worksheet!G10&lt;&gt;""),Worksheet!I10,"")</f>
        <v/>
      </c>
      <c r="F10" s="58" t="str">
        <f>IF(Worksheet!E10&lt;&gt;"",Uncertainties!L9,"")</f>
        <v/>
      </c>
      <c r="G10" s="96" t="str">
        <f>IF(Worksheet!J10&lt;&gt;"",Worksheet!J10,"")</f>
        <v/>
      </c>
      <c r="H10" s="97"/>
    </row>
    <row r="11" spans="2:11" x14ac:dyDescent="0.25">
      <c r="B11" s="78" t="str">
        <f>IF(Worksheet!B11&lt;&gt;"",Worksheet!B11,"")</f>
        <v xml:space="preserve"> </v>
      </c>
      <c r="C11" s="14" t="str">
        <f>IF(Worksheet!D11&lt;&gt;"",Worksheet!D11,"")</f>
        <v/>
      </c>
      <c r="D11" s="29" t="str">
        <f>IF(Worksheet!E11&lt;&gt;"",Worksheet!U11,"")</f>
        <v/>
      </c>
      <c r="E11" s="17" t="str">
        <f>IF(AND(Worksheet!E11&lt;&gt;"",Worksheet!F11&lt;&gt;"",Worksheet!G11&lt;&gt;""),Worksheet!I11,"")</f>
        <v/>
      </c>
      <c r="F11" s="58" t="str">
        <f>IF(Worksheet!E11&lt;&gt;"",Uncertainties!L10,"")</f>
        <v/>
      </c>
      <c r="G11" s="96" t="str">
        <f>IF(Worksheet!J11&lt;&gt;"",Worksheet!J11,"")</f>
        <v/>
      </c>
      <c r="H11" s="97"/>
    </row>
    <row r="12" spans="2:11" x14ac:dyDescent="0.25">
      <c r="B12" s="78" t="str">
        <f>IF(Worksheet!B12&lt;&gt;"",Worksheet!B12,"")</f>
        <v xml:space="preserve"> </v>
      </c>
      <c r="C12" s="14" t="str">
        <f>IF(Worksheet!D12&lt;&gt;"",Worksheet!D12,"")</f>
        <v/>
      </c>
      <c r="D12" s="29" t="str">
        <f>IF(Worksheet!E12&lt;&gt;"",Worksheet!U12,"")</f>
        <v/>
      </c>
      <c r="E12" s="17" t="str">
        <f>IF(AND(Worksheet!E12&lt;&gt;"",Worksheet!F12&lt;&gt;"",Worksheet!G12&lt;&gt;""),Worksheet!I12,"")</f>
        <v/>
      </c>
      <c r="F12" s="58" t="str">
        <f>IF(Worksheet!E12&lt;&gt;"",Uncertainties!L11,"")</f>
        <v/>
      </c>
      <c r="G12" s="96" t="str">
        <f>IF(Worksheet!J12&lt;&gt;"",Worksheet!J12,"")</f>
        <v/>
      </c>
      <c r="H12" s="97"/>
    </row>
    <row r="13" spans="2:11" x14ac:dyDescent="0.25">
      <c r="B13" s="78" t="str">
        <f>IF(Worksheet!B13&lt;&gt;"",Worksheet!B13,"")</f>
        <v xml:space="preserve"> </v>
      </c>
      <c r="C13" s="14" t="str">
        <f>IF(Worksheet!D13&lt;&gt;"",Worksheet!D13,"")</f>
        <v/>
      </c>
      <c r="D13" s="29" t="str">
        <f>IF(Worksheet!E13&lt;&gt;"",Worksheet!U13,"")</f>
        <v/>
      </c>
      <c r="E13" s="17" t="str">
        <f>IF(AND(Worksheet!E13&lt;&gt;"",Worksheet!F13&lt;&gt;"",Worksheet!G13&lt;&gt;""),Worksheet!I13,"")</f>
        <v/>
      </c>
      <c r="F13" s="58" t="str">
        <f>IF(Worksheet!E13&lt;&gt;"",Uncertainties!L12,"")</f>
        <v/>
      </c>
      <c r="G13" s="96" t="str">
        <f>IF(Worksheet!J13&lt;&gt;"",Worksheet!J13,"")</f>
        <v/>
      </c>
      <c r="H13" s="97"/>
    </row>
    <row r="14" spans="2:11" x14ac:dyDescent="0.25">
      <c r="B14" s="78" t="str">
        <f>IF(Worksheet!B14&lt;&gt;"",Worksheet!B14,"")</f>
        <v xml:space="preserve"> </v>
      </c>
      <c r="C14" s="14" t="str">
        <f>IF(Worksheet!D14&lt;&gt;"",Worksheet!D14,"")</f>
        <v/>
      </c>
      <c r="D14" s="29" t="str">
        <f>IF(Worksheet!E14&lt;&gt;"",Worksheet!U14,"")</f>
        <v/>
      </c>
      <c r="E14" s="17" t="str">
        <f>IF(AND(Worksheet!E14&lt;&gt;"",Worksheet!F14&lt;&gt;"",Worksheet!G14&lt;&gt;""),Worksheet!I14,"")</f>
        <v/>
      </c>
      <c r="F14" s="58" t="str">
        <f>IF(Worksheet!E14&lt;&gt;"",Uncertainties!L13,"")</f>
        <v/>
      </c>
      <c r="G14" s="96" t="str">
        <f>IF(Worksheet!J14&lt;&gt;"",Worksheet!J14,"")</f>
        <v/>
      </c>
      <c r="H14" s="97"/>
    </row>
    <row r="15" spans="2:11" x14ac:dyDescent="0.25">
      <c r="B15" s="78" t="str">
        <f>IF(Worksheet!B15&lt;&gt;"",Worksheet!B15,"")</f>
        <v xml:space="preserve"> </v>
      </c>
      <c r="C15" s="14" t="str">
        <f>IF(Worksheet!D15&lt;&gt;"",Worksheet!D15,"")</f>
        <v/>
      </c>
      <c r="D15" s="29" t="str">
        <f>IF(Worksheet!E15&lt;&gt;"",Worksheet!U15,"")</f>
        <v/>
      </c>
      <c r="E15" s="17" t="str">
        <f>IF(AND(Worksheet!E15&lt;&gt;"",Worksheet!F15&lt;&gt;"",Worksheet!G15&lt;&gt;""),Worksheet!I15,"")</f>
        <v/>
      </c>
      <c r="F15" s="58" t="str">
        <f>IF(Worksheet!E15&lt;&gt;"",Uncertainties!L14,"")</f>
        <v/>
      </c>
      <c r="G15" s="96" t="str">
        <f>IF(Worksheet!J15&lt;&gt;"",Worksheet!J15,"")</f>
        <v/>
      </c>
      <c r="H15" s="97"/>
    </row>
    <row r="16" spans="2:11" x14ac:dyDescent="0.25">
      <c r="B16" s="78" t="str">
        <f>IF(Worksheet!B16&lt;&gt;"",Worksheet!B16,"")</f>
        <v xml:space="preserve"> </v>
      </c>
      <c r="C16" s="14" t="str">
        <f>IF(Worksheet!D16&lt;&gt;"",Worksheet!D16,"")</f>
        <v/>
      </c>
      <c r="D16" s="29" t="str">
        <f>IF(Worksheet!E16&lt;&gt;"",Worksheet!U16,"")</f>
        <v/>
      </c>
      <c r="E16" s="17" t="str">
        <f>IF(AND(Worksheet!E16&lt;&gt;"",Worksheet!F16&lt;&gt;"",Worksheet!G16&lt;&gt;""),Worksheet!I16,"")</f>
        <v/>
      </c>
      <c r="F16" s="58" t="str">
        <f>IF(Worksheet!E16&lt;&gt;"",Uncertainties!L15,"")</f>
        <v/>
      </c>
      <c r="G16" s="96" t="str">
        <f>IF(Worksheet!J16&lt;&gt;"",Worksheet!J16,"")</f>
        <v/>
      </c>
      <c r="H16" s="97"/>
    </row>
    <row r="17" spans="2:8" x14ac:dyDescent="0.25">
      <c r="B17" s="78" t="str">
        <f>IF(Worksheet!B17&lt;&gt;"",Worksheet!B17,"")</f>
        <v xml:space="preserve"> </v>
      </c>
      <c r="C17" s="14" t="str">
        <f>IF(Worksheet!D17&lt;&gt;"",Worksheet!D17,"")</f>
        <v/>
      </c>
      <c r="D17" s="29" t="str">
        <f>IF(Worksheet!E17&lt;&gt;"",Worksheet!U17,"")</f>
        <v/>
      </c>
      <c r="E17" s="17" t="str">
        <f>IF(AND(Worksheet!E17&lt;&gt;"",Worksheet!F17&lt;&gt;"",Worksheet!G17&lt;&gt;""),Worksheet!I17,"")</f>
        <v/>
      </c>
      <c r="F17" s="58" t="str">
        <f>IF(Worksheet!E17&lt;&gt;"",Uncertainties!L16,"")</f>
        <v/>
      </c>
      <c r="G17" s="96" t="str">
        <f>IF(Worksheet!J17&lt;&gt;"",Worksheet!J17,"")</f>
        <v/>
      </c>
      <c r="H17" s="97"/>
    </row>
    <row r="18" spans="2:8" x14ac:dyDescent="0.25">
      <c r="B18" s="78" t="str">
        <f>IF(Worksheet!B18&lt;&gt;"",Worksheet!B18,"")</f>
        <v xml:space="preserve"> </v>
      </c>
      <c r="C18" s="14" t="str">
        <f>IF(Worksheet!D18&lt;&gt;"",Worksheet!D18,"")</f>
        <v/>
      </c>
      <c r="D18" s="29" t="str">
        <f>IF(Worksheet!E18&lt;&gt;"",Worksheet!U18,"")</f>
        <v/>
      </c>
      <c r="E18" s="17" t="str">
        <f>IF(AND(Worksheet!E18&lt;&gt;"",Worksheet!F18&lt;&gt;"",Worksheet!G18&lt;&gt;""),Worksheet!I18,"")</f>
        <v/>
      </c>
      <c r="F18" s="58" t="str">
        <f>IF(Worksheet!E18&lt;&gt;"",Uncertainties!L17,"")</f>
        <v/>
      </c>
      <c r="G18" s="96" t="str">
        <f>IF(Worksheet!J18&lt;&gt;"",Worksheet!J18,"")</f>
        <v/>
      </c>
      <c r="H18" s="97"/>
    </row>
    <row r="19" spans="2:8" x14ac:dyDescent="0.25">
      <c r="B19" s="78" t="str">
        <f>IF(Worksheet!B19&lt;&gt;"",Worksheet!B19,"")</f>
        <v/>
      </c>
      <c r="C19" s="14" t="str">
        <f>IF(Worksheet!D19&lt;&gt;"",Worksheet!D19,"")</f>
        <v/>
      </c>
      <c r="D19" s="29" t="str">
        <f>IF(Worksheet!E19&lt;&gt;"",Worksheet!U19,"")</f>
        <v/>
      </c>
      <c r="E19" s="17" t="str">
        <f>IF(AND(Worksheet!E19&lt;&gt;"",Worksheet!F19&lt;&gt;"",Worksheet!G19&lt;&gt;""),Worksheet!I19,"")</f>
        <v/>
      </c>
      <c r="F19" s="58" t="str">
        <f>IF(Worksheet!E19&lt;&gt;"",Uncertainties!L18,"")</f>
        <v/>
      </c>
      <c r="G19" s="96" t="str">
        <f>IF(Worksheet!J19&lt;&gt;"",Worksheet!J19,"")</f>
        <v/>
      </c>
      <c r="H19" s="97"/>
    </row>
    <row r="20" spans="2:8" x14ac:dyDescent="0.25">
      <c r="B20" s="78" t="str">
        <f>IF(Worksheet!B20&lt;&gt;"",Worksheet!B20,"")</f>
        <v/>
      </c>
      <c r="C20" s="14" t="str">
        <f>IF(Worksheet!D20&lt;&gt;"",Worksheet!D20,"")</f>
        <v/>
      </c>
      <c r="D20" s="29" t="str">
        <f>IF(Worksheet!E20&lt;&gt;"",Worksheet!U20,"")</f>
        <v/>
      </c>
      <c r="E20" s="17" t="str">
        <f>IF(AND(Worksheet!E20&lt;&gt;"",Worksheet!F20&lt;&gt;"",Worksheet!G20&lt;&gt;""),Worksheet!I20,"")</f>
        <v/>
      </c>
      <c r="F20" s="58" t="str">
        <f>IF(Worksheet!E20&lt;&gt;"",Uncertainties!L19,"")</f>
        <v/>
      </c>
      <c r="G20" s="96" t="str">
        <f>IF(Worksheet!J20&lt;&gt;"",Worksheet!J20,"")</f>
        <v/>
      </c>
      <c r="H20" s="97"/>
    </row>
    <row r="21" spans="2:8" x14ac:dyDescent="0.25">
      <c r="B21" s="78" t="str">
        <f>IF(Worksheet!B21&lt;&gt;"",Worksheet!B21,"")</f>
        <v/>
      </c>
      <c r="C21" s="14" t="str">
        <f>IF(Worksheet!D21&lt;&gt;"",Worksheet!D21,"")</f>
        <v/>
      </c>
      <c r="D21" s="29" t="str">
        <f>IF(Worksheet!E21&lt;&gt;"",Worksheet!U21,"")</f>
        <v/>
      </c>
      <c r="E21" s="17" t="str">
        <f>IF(AND(Worksheet!E21&lt;&gt;"",Worksheet!F21&lt;&gt;"",Worksheet!G21&lt;&gt;""),Worksheet!I21,"")</f>
        <v/>
      </c>
      <c r="F21" s="58" t="str">
        <f>IF(Worksheet!E21&lt;&gt;"",Uncertainties!L20,"")</f>
        <v/>
      </c>
      <c r="G21" s="96" t="str">
        <f>IF(Worksheet!J21&lt;&gt;"",Worksheet!J21,"")</f>
        <v/>
      </c>
      <c r="H21" s="97"/>
    </row>
    <row r="22" spans="2:8" x14ac:dyDescent="0.25">
      <c r="B22" s="78" t="str">
        <f>IF(Worksheet!B22&lt;&gt;"",Worksheet!B22,"")</f>
        <v/>
      </c>
      <c r="C22" s="14" t="str">
        <f>IF(Worksheet!D22&lt;&gt;"",Worksheet!D22,"")</f>
        <v/>
      </c>
      <c r="D22" s="29" t="str">
        <f>IF(Worksheet!E22&lt;&gt;"",Worksheet!U22,"")</f>
        <v/>
      </c>
      <c r="E22" s="17" t="str">
        <f>IF(AND(Worksheet!E22&lt;&gt;"",Worksheet!F22&lt;&gt;"",Worksheet!G22&lt;&gt;""),Worksheet!I22,"")</f>
        <v/>
      </c>
      <c r="F22" s="58" t="str">
        <f>IF(Worksheet!E22&lt;&gt;"",Uncertainties!L21,"")</f>
        <v/>
      </c>
      <c r="G22" s="96" t="str">
        <f>IF(Worksheet!J22&lt;&gt;"",Worksheet!J22,"")</f>
        <v/>
      </c>
      <c r="H22" s="97"/>
    </row>
    <row r="23" spans="2:8" x14ac:dyDescent="0.25">
      <c r="B23" s="78" t="str">
        <f>IF(Worksheet!B23&lt;&gt;"",Worksheet!B23,"")</f>
        <v/>
      </c>
      <c r="C23" s="14" t="str">
        <f>IF(Worksheet!D23&lt;&gt;"",Worksheet!D23,"")</f>
        <v/>
      </c>
      <c r="D23" s="29" t="str">
        <f>IF(Worksheet!E23&lt;&gt;"",Worksheet!U23,"")</f>
        <v/>
      </c>
      <c r="E23" s="17" t="str">
        <f>IF(AND(Worksheet!E23&lt;&gt;"",Worksheet!F23&lt;&gt;"",Worksheet!G23&lt;&gt;""),Worksheet!I23,"")</f>
        <v/>
      </c>
      <c r="F23" s="58" t="str">
        <f>IF(Worksheet!E23&lt;&gt;"",Uncertainties!L22,"")</f>
        <v/>
      </c>
      <c r="G23" s="96" t="str">
        <f>IF(Worksheet!J23&lt;&gt;"",Worksheet!J23,"")</f>
        <v/>
      </c>
      <c r="H23" s="97"/>
    </row>
    <row r="24" spans="2:8" x14ac:dyDescent="0.25">
      <c r="B24" s="78" t="str">
        <f>IF(Worksheet!B24&lt;&gt;"",Worksheet!B24,"")</f>
        <v/>
      </c>
      <c r="C24" s="14" t="str">
        <f>IF(Worksheet!D24&lt;&gt;"",Worksheet!D24,"")</f>
        <v/>
      </c>
      <c r="D24" s="29" t="str">
        <f>IF(Worksheet!E24&lt;&gt;"",Worksheet!U24,"")</f>
        <v/>
      </c>
      <c r="E24" s="17" t="str">
        <f>IF(AND(Worksheet!E24&lt;&gt;"",Worksheet!F24&lt;&gt;"",Worksheet!G24&lt;&gt;""),Worksheet!I24,"")</f>
        <v/>
      </c>
      <c r="F24" s="58" t="str">
        <f>IF(Worksheet!E24&lt;&gt;"",Uncertainties!L23,"")</f>
        <v/>
      </c>
      <c r="G24" s="96" t="str">
        <f>IF(Worksheet!J24&lt;&gt;"",Worksheet!J24,"")</f>
        <v/>
      </c>
      <c r="H24" s="97"/>
    </row>
    <row r="25" spans="2:8" x14ac:dyDescent="0.25">
      <c r="B25" s="78" t="str">
        <f>IF(Worksheet!B25&lt;&gt;"",Worksheet!B25,"")</f>
        <v/>
      </c>
      <c r="C25" s="14" t="str">
        <f>IF(Worksheet!D25&lt;&gt;"",Worksheet!D25,"")</f>
        <v/>
      </c>
      <c r="D25" s="29" t="str">
        <f>IF(Worksheet!E25&lt;&gt;"",Worksheet!U25,"")</f>
        <v/>
      </c>
      <c r="E25" s="17" t="str">
        <f>IF(AND(Worksheet!E25&lt;&gt;"",Worksheet!F25&lt;&gt;"",Worksheet!G25&lt;&gt;""),Worksheet!I25,"")</f>
        <v/>
      </c>
      <c r="F25" s="58" t="str">
        <f>IF(Worksheet!E25&lt;&gt;"",Uncertainties!L24,"")</f>
        <v/>
      </c>
      <c r="G25" s="96" t="str">
        <f>IF(Worksheet!J25&lt;&gt;"",Worksheet!J25,"")</f>
        <v/>
      </c>
      <c r="H25" s="97"/>
    </row>
    <row r="26" spans="2:8" x14ac:dyDescent="0.25">
      <c r="B26" s="78" t="str">
        <f>IF(Worksheet!B26&lt;&gt;"",Worksheet!B26,"")</f>
        <v/>
      </c>
      <c r="C26" s="14" t="str">
        <f>IF(Worksheet!D26&lt;&gt;"",Worksheet!D26,"")</f>
        <v/>
      </c>
      <c r="D26" s="29" t="str">
        <f>IF(Worksheet!E26&lt;&gt;"",Worksheet!U26,"")</f>
        <v/>
      </c>
      <c r="E26" s="17" t="str">
        <f>IF(AND(Worksheet!E26&lt;&gt;"",Worksheet!F26&lt;&gt;"",Worksheet!G26&lt;&gt;""),Worksheet!I26,"")</f>
        <v/>
      </c>
      <c r="F26" s="58" t="str">
        <f>IF(Worksheet!E26&lt;&gt;"",Uncertainties!L25,"")</f>
        <v/>
      </c>
      <c r="G26" s="96" t="str">
        <f>IF(Worksheet!J26&lt;&gt;"",Worksheet!J26,"")</f>
        <v/>
      </c>
      <c r="H26" s="97"/>
    </row>
    <row r="27" spans="2:8" x14ac:dyDescent="0.25">
      <c r="B27" s="78" t="str">
        <f>IF(Worksheet!B27&lt;&gt;"",Worksheet!B27,"")</f>
        <v/>
      </c>
      <c r="C27" s="14" t="str">
        <f>IF(Worksheet!D27&lt;&gt;"",Worksheet!D27,"")</f>
        <v/>
      </c>
      <c r="D27" s="29" t="str">
        <f>IF(Worksheet!E27&lt;&gt;"",Worksheet!U27,"")</f>
        <v/>
      </c>
      <c r="E27" s="17" t="str">
        <f>IF(AND(Worksheet!E27&lt;&gt;"",Worksheet!F27&lt;&gt;"",Worksheet!G27&lt;&gt;""),Worksheet!I27,"")</f>
        <v/>
      </c>
      <c r="F27" s="58" t="str">
        <f>IF(Worksheet!E27&lt;&gt;"",Uncertainties!L26,"")</f>
        <v/>
      </c>
      <c r="G27" s="96" t="str">
        <f>IF(Worksheet!J27&lt;&gt;"",Worksheet!J27,"")</f>
        <v/>
      </c>
      <c r="H27" s="97"/>
    </row>
    <row r="28" spans="2:8" x14ac:dyDescent="0.25">
      <c r="B28" s="78" t="str">
        <f>IF(Worksheet!B28&lt;&gt;"",Worksheet!B28,"")</f>
        <v/>
      </c>
      <c r="C28" s="14" t="str">
        <f>IF(Worksheet!D28&lt;&gt;"",Worksheet!D28,"")</f>
        <v/>
      </c>
      <c r="D28" s="29" t="str">
        <f>IF(Worksheet!E28&lt;&gt;"",Worksheet!U28,"")</f>
        <v/>
      </c>
      <c r="E28" s="17" t="str">
        <f>IF(AND(Worksheet!E28&lt;&gt;"",Worksheet!F28&lt;&gt;"",Worksheet!G28&lt;&gt;""),Worksheet!I28,"")</f>
        <v/>
      </c>
      <c r="F28" s="58" t="str">
        <f>IF(Worksheet!E28&lt;&gt;"",Uncertainties!L27,"")</f>
        <v/>
      </c>
      <c r="G28" s="96" t="str">
        <f>IF(Worksheet!J28&lt;&gt;"",Worksheet!J28,"")</f>
        <v/>
      </c>
      <c r="H28" s="97"/>
    </row>
    <row r="29" spans="2:8" x14ac:dyDescent="0.25">
      <c r="B29" s="78" t="str">
        <f>IF(Worksheet!B29&lt;&gt;"",Worksheet!B29,"")</f>
        <v/>
      </c>
      <c r="C29" s="14" t="str">
        <f>IF(Worksheet!D29&lt;&gt;"",Worksheet!D29,"")</f>
        <v/>
      </c>
      <c r="D29" s="29" t="str">
        <f>IF(Worksheet!E29&lt;&gt;"",Worksheet!U29,"")</f>
        <v/>
      </c>
      <c r="E29" s="17" t="str">
        <f>IF(AND(Worksheet!E29&lt;&gt;"",Worksheet!F29&lt;&gt;"",Worksheet!G29&lt;&gt;""),Worksheet!I29,"")</f>
        <v/>
      </c>
      <c r="F29" s="58" t="str">
        <f>IF(Worksheet!E29&lt;&gt;"",Uncertainties!L28,"")</f>
        <v/>
      </c>
      <c r="G29" s="96" t="str">
        <f>IF(Worksheet!J29&lt;&gt;"",Worksheet!J29,"")</f>
        <v/>
      </c>
      <c r="H29" s="97"/>
    </row>
    <row r="30" spans="2:8" x14ac:dyDescent="0.25">
      <c r="B30" s="78" t="str">
        <f>IF(Worksheet!B30&lt;&gt;"",Worksheet!B30,"")</f>
        <v/>
      </c>
      <c r="C30" s="14" t="str">
        <f>IF(Worksheet!D30&lt;&gt;"",Worksheet!D30,"")</f>
        <v/>
      </c>
      <c r="D30" s="29" t="str">
        <f>IF(Worksheet!E30&lt;&gt;"",Worksheet!U30,"")</f>
        <v/>
      </c>
      <c r="E30" s="17" t="str">
        <f>IF(AND(Worksheet!E30&lt;&gt;"",Worksheet!F30&lt;&gt;"",Worksheet!G30&lt;&gt;""),Worksheet!I30,"")</f>
        <v/>
      </c>
      <c r="F30" s="58" t="str">
        <f>IF(Worksheet!E30&lt;&gt;"",Uncertainties!L29,"")</f>
        <v/>
      </c>
      <c r="G30" s="96" t="str">
        <f>IF(Worksheet!J30&lt;&gt;"",Worksheet!J30,"")</f>
        <v/>
      </c>
      <c r="H30" s="97"/>
    </row>
    <row r="31" spans="2:8" x14ac:dyDescent="0.25">
      <c r="B31" s="78" t="str">
        <f>IF(Worksheet!B31&lt;&gt;"",Worksheet!B31,"")</f>
        <v/>
      </c>
      <c r="C31" s="14" t="str">
        <f>IF(Worksheet!D31&lt;&gt;"",Worksheet!D31,"")</f>
        <v/>
      </c>
      <c r="D31" s="29" t="str">
        <f>IF(Worksheet!E31&lt;&gt;"",Worksheet!U31,"")</f>
        <v/>
      </c>
      <c r="E31" s="17" t="str">
        <f>IF(AND(Worksheet!E31&lt;&gt;"",Worksheet!F31&lt;&gt;"",Worksheet!G31&lt;&gt;""),Worksheet!I31,"")</f>
        <v/>
      </c>
      <c r="F31" s="58" t="str">
        <f>IF(Worksheet!E31&lt;&gt;"",Uncertainties!L30,"")</f>
        <v/>
      </c>
      <c r="G31" s="96" t="str">
        <f>IF(Worksheet!J31&lt;&gt;"",Worksheet!J31,"")</f>
        <v/>
      </c>
      <c r="H31" s="97"/>
    </row>
    <row r="32" spans="2:8" x14ac:dyDescent="0.25">
      <c r="B32" s="78" t="str">
        <f>IF(Worksheet!B32&lt;&gt;"",Worksheet!B32,"")</f>
        <v/>
      </c>
      <c r="C32" s="14" t="str">
        <f>IF(Worksheet!D32&lt;&gt;"",Worksheet!D32,"")</f>
        <v/>
      </c>
      <c r="D32" s="29" t="str">
        <f>IF(Worksheet!E32&lt;&gt;"",Worksheet!U32,"")</f>
        <v/>
      </c>
      <c r="E32" s="17" t="str">
        <f>IF(AND(Worksheet!E32&lt;&gt;"",Worksheet!F32&lt;&gt;"",Worksheet!G32&lt;&gt;""),Worksheet!I32,"")</f>
        <v/>
      </c>
      <c r="F32" s="58" t="str">
        <f>IF(Worksheet!E32&lt;&gt;"",Uncertainties!L31,"")</f>
        <v/>
      </c>
      <c r="G32" s="96" t="str">
        <f>IF(Worksheet!J32&lt;&gt;"",Worksheet!J32,"")</f>
        <v/>
      </c>
      <c r="H32" s="97"/>
    </row>
    <row r="33" spans="2:11" x14ac:dyDescent="0.25">
      <c r="B33" s="78" t="str">
        <f>IF(Worksheet!B33&lt;&gt;"",Worksheet!B33,"")</f>
        <v/>
      </c>
      <c r="C33" s="14" t="str">
        <f>IF(Worksheet!D33&lt;&gt;"",Worksheet!D33,"")</f>
        <v/>
      </c>
      <c r="D33" s="29" t="str">
        <f>IF(Worksheet!E33&lt;&gt;"",Worksheet!U33,"")</f>
        <v/>
      </c>
      <c r="E33" s="17" t="str">
        <f>IF(AND(Worksheet!E33&lt;&gt;"",Worksheet!F33&lt;&gt;"",Worksheet!G33&lt;&gt;""),Worksheet!I33,"")</f>
        <v/>
      </c>
      <c r="F33" s="58" t="str">
        <f>IF(Worksheet!E33&lt;&gt;"",Uncertainties!L32,"")</f>
        <v/>
      </c>
      <c r="G33" s="96" t="str">
        <f>IF(Worksheet!J33&lt;&gt;"",Worksheet!J33,"")</f>
        <v/>
      </c>
      <c r="H33" s="97"/>
    </row>
    <row r="34" spans="2:11" x14ac:dyDescent="0.25">
      <c r="B34" s="78" t="str">
        <f>IF(Worksheet!B34&lt;&gt;"",Worksheet!B34,"")</f>
        <v/>
      </c>
      <c r="C34" s="14" t="str">
        <f>IF(Worksheet!D34&lt;&gt;"",Worksheet!D34,"")</f>
        <v/>
      </c>
      <c r="D34" s="29" t="str">
        <f>IF(Worksheet!E34&lt;&gt;"",Worksheet!U34,"")</f>
        <v/>
      </c>
      <c r="E34" s="17" t="str">
        <f>IF(AND(Worksheet!E34&lt;&gt;"",Worksheet!F34&lt;&gt;"",Worksheet!G34&lt;&gt;""),Worksheet!I34,"")</f>
        <v/>
      </c>
      <c r="F34" s="58" t="str">
        <f>IF(Worksheet!E34&lt;&gt;"",Uncertainties!L33,"")</f>
        <v/>
      </c>
      <c r="G34" s="96" t="str">
        <f>IF(Worksheet!J34&lt;&gt;"",Worksheet!J34,"")</f>
        <v/>
      </c>
      <c r="H34" s="97"/>
    </row>
    <row r="35" spans="2:11" x14ac:dyDescent="0.25">
      <c r="B35" s="78" t="str">
        <f>IF(Worksheet!B35&lt;&gt;"",Worksheet!B35,"")</f>
        <v/>
      </c>
      <c r="C35" s="14" t="str">
        <f>IF(Worksheet!D35&lt;&gt;"",Worksheet!D35,"")</f>
        <v/>
      </c>
      <c r="D35" s="29" t="str">
        <f>IF(Worksheet!E35&lt;&gt;"",Worksheet!U35,"")</f>
        <v/>
      </c>
      <c r="E35" s="17" t="str">
        <f>IF(AND(Worksheet!E35&lt;&gt;"",Worksheet!F35&lt;&gt;"",Worksheet!G35&lt;&gt;""),Worksheet!I35,"")</f>
        <v/>
      </c>
      <c r="F35" s="58" t="str">
        <f>IF(Worksheet!E35&lt;&gt;"",Uncertainties!L34,"")</f>
        <v/>
      </c>
      <c r="G35" s="96" t="str">
        <f>IF(Worksheet!J35&lt;&gt;"",Worksheet!J35,"")</f>
        <v/>
      </c>
      <c r="H35" s="97"/>
    </row>
    <row r="36" spans="2:11" x14ac:dyDescent="0.25">
      <c r="B36" s="78" t="str">
        <f>IF(Worksheet!B36&lt;&gt;"",Worksheet!B36,"")</f>
        <v/>
      </c>
      <c r="C36" s="14" t="str">
        <f>IF(Worksheet!D36&lt;&gt;"",Worksheet!D36,"")</f>
        <v/>
      </c>
      <c r="D36" s="29" t="str">
        <f>IF(Worksheet!E36&lt;&gt;"",Worksheet!U36,"")</f>
        <v/>
      </c>
      <c r="E36" s="17" t="str">
        <f>IF(AND(Worksheet!E36&lt;&gt;"",Worksheet!F36&lt;&gt;"",Worksheet!G36&lt;&gt;""),Worksheet!I36,"")</f>
        <v/>
      </c>
      <c r="F36" s="58" t="str">
        <f>IF(Worksheet!E36&lt;&gt;"",Uncertainties!L35,"")</f>
        <v/>
      </c>
      <c r="G36" s="96" t="str">
        <f>IF(Worksheet!J36&lt;&gt;"",Worksheet!J36,"")</f>
        <v/>
      </c>
      <c r="H36" s="97"/>
    </row>
    <row r="37" spans="2:11" x14ac:dyDescent="0.25">
      <c r="B37" s="78" t="str">
        <f>IF(Worksheet!B37&lt;&gt;"",Worksheet!B37,"")</f>
        <v/>
      </c>
      <c r="C37" s="14" t="str">
        <f>IF(Worksheet!D37&lt;&gt;"",Worksheet!D37,"")</f>
        <v/>
      </c>
      <c r="D37" s="29" t="str">
        <f>IF(Worksheet!E37&lt;&gt;"",Worksheet!U37,"")</f>
        <v/>
      </c>
      <c r="E37" s="17" t="str">
        <f>IF(AND(Worksheet!E37&lt;&gt;"",Worksheet!F37&lt;&gt;"",Worksheet!G37&lt;&gt;""),Worksheet!I37,"")</f>
        <v/>
      </c>
      <c r="F37" s="58" t="str">
        <f>IF(Worksheet!E37&lt;&gt;"",Uncertainties!L36,"")</f>
        <v/>
      </c>
      <c r="G37" s="96" t="str">
        <f>IF(Worksheet!J37&lt;&gt;"",Worksheet!J37,"")</f>
        <v/>
      </c>
      <c r="H37" s="97"/>
    </row>
    <row r="38" spans="2:11" x14ac:dyDescent="0.25">
      <c r="B38" s="78" t="str">
        <f>IF(Worksheet!B38&lt;&gt;"",Worksheet!B38,"")</f>
        <v/>
      </c>
      <c r="C38" s="14" t="str">
        <f>IF(Worksheet!D38&lt;&gt;"",Worksheet!D38,"")</f>
        <v/>
      </c>
      <c r="D38" s="29" t="str">
        <f>IF(Worksheet!E38&lt;&gt;"",Worksheet!U38,"")</f>
        <v/>
      </c>
      <c r="E38" s="17" t="str">
        <f>IF(AND(Worksheet!E38&lt;&gt;"",Worksheet!F38&lt;&gt;"",Worksheet!G38&lt;&gt;""),Worksheet!I38,"")</f>
        <v/>
      </c>
      <c r="F38" s="58" t="str">
        <f>IF(Worksheet!E38&lt;&gt;"",Uncertainties!L37,"")</f>
        <v/>
      </c>
      <c r="G38" s="96" t="str">
        <f>IF(Worksheet!J38&lt;&gt;"",Worksheet!J38,"")</f>
        <v/>
      </c>
      <c r="H38" s="97"/>
    </row>
    <row r="39" spans="2:11" x14ac:dyDescent="0.25">
      <c r="B39" s="78" t="str">
        <f>IF(Worksheet!B39&lt;&gt;"",Worksheet!B39,"")</f>
        <v/>
      </c>
      <c r="C39" s="14" t="str">
        <f>IF(Worksheet!D39&lt;&gt;"",Worksheet!D39,"")</f>
        <v/>
      </c>
      <c r="D39" s="29" t="str">
        <f>IF(Worksheet!E39&lt;&gt;"",Worksheet!U39,"")</f>
        <v/>
      </c>
      <c r="E39" s="17" t="str">
        <f>IF(AND(Worksheet!E39&lt;&gt;"",Worksheet!F39&lt;&gt;"",Worksheet!G39&lt;&gt;""),Worksheet!I39,"")</f>
        <v/>
      </c>
      <c r="F39" s="58" t="str">
        <f>IF(Worksheet!E39&lt;&gt;"",Uncertainties!L38,"")</f>
        <v/>
      </c>
      <c r="G39" s="96" t="str">
        <f>IF(Worksheet!J39&lt;&gt;"",Worksheet!J39,"")</f>
        <v/>
      </c>
      <c r="H39" s="97"/>
    </row>
    <row r="40" spans="2:11" x14ac:dyDescent="0.25">
      <c r="B40" s="78" t="str">
        <f>IF(Worksheet!B40&lt;&gt;"",Worksheet!B40,"")</f>
        <v/>
      </c>
      <c r="C40" s="14" t="str">
        <f>IF(Worksheet!D40&lt;&gt;"",Worksheet!D40,"")</f>
        <v/>
      </c>
      <c r="D40" s="29" t="str">
        <f>IF(Worksheet!E40&lt;&gt;"",Worksheet!U40,"")</f>
        <v/>
      </c>
      <c r="E40" s="17" t="str">
        <f>IF(AND(Worksheet!E40&lt;&gt;"",Worksheet!F40&lt;&gt;"",Worksheet!G40&lt;&gt;""),Worksheet!I40,"")</f>
        <v/>
      </c>
      <c r="F40" s="58" t="str">
        <f>IF(Worksheet!E40&lt;&gt;"",Uncertainties!L39,"")</f>
        <v/>
      </c>
      <c r="G40" s="96" t="str">
        <f>IF(Worksheet!J40&lt;&gt;"",Worksheet!J40,"")</f>
        <v/>
      </c>
      <c r="H40" s="97"/>
    </row>
    <row r="41" spans="2:11" x14ac:dyDescent="0.25">
      <c r="B41" s="78" t="str">
        <f>IF(Worksheet!B41&lt;&gt;"",Worksheet!B41,"")</f>
        <v/>
      </c>
      <c r="C41" s="14" t="str">
        <f>IF(Worksheet!D41&lt;&gt;"",Worksheet!D41,"")</f>
        <v/>
      </c>
      <c r="D41" s="29" t="str">
        <f>IF(Worksheet!E41&lt;&gt;"",Worksheet!U41,"")</f>
        <v/>
      </c>
      <c r="E41" s="17" t="str">
        <f>IF(AND(Worksheet!E41&lt;&gt;"",Worksheet!F41&lt;&gt;"",Worksheet!G41&lt;&gt;""),Worksheet!I41,"")</f>
        <v/>
      </c>
      <c r="F41" s="58" t="str">
        <f>IF(Worksheet!E41&lt;&gt;"",Uncertainties!L40,"")</f>
        <v/>
      </c>
      <c r="G41" s="96" t="str">
        <f>IF(Worksheet!J41&lt;&gt;"",Worksheet!J41,"")</f>
        <v/>
      </c>
      <c r="H41" s="97"/>
    </row>
    <row r="42" spans="2:11" x14ac:dyDescent="0.25">
      <c r="B42" s="78" t="str">
        <f>IF(Worksheet!B42&lt;&gt;"",Worksheet!B42,"")</f>
        <v/>
      </c>
      <c r="C42" s="14" t="str">
        <f>IF(Worksheet!D42&lt;&gt;"",Worksheet!D42,"")</f>
        <v/>
      </c>
      <c r="D42" s="29" t="str">
        <f>IF(Worksheet!E42&lt;&gt;"",Worksheet!U42,"")</f>
        <v/>
      </c>
      <c r="E42" s="17" t="str">
        <f>IF(AND(Worksheet!E42&lt;&gt;"",Worksheet!F42&lt;&gt;"",Worksheet!G42&lt;&gt;""),Worksheet!I42,"")</f>
        <v/>
      </c>
      <c r="F42" s="58" t="str">
        <f>IF(Worksheet!E42&lt;&gt;"",Uncertainties!L41,"")</f>
        <v/>
      </c>
      <c r="G42" s="96" t="str">
        <f>IF(Worksheet!J42&lt;&gt;"",Worksheet!J42,"")</f>
        <v/>
      </c>
      <c r="H42" s="97"/>
    </row>
    <row r="43" spans="2:11" x14ac:dyDescent="0.25">
      <c r="B43" s="78" t="str">
        <f>IF(Worksheet!B43&lt;&gt;"",Worksheet!B43,"")</f>
        <v/>
      </c>
      <c r="C43" s="14" t="str">
        <f>IF(Worksheet!D43&lt;&gt;"",Worksheet!D43,"")</f>
        <v/>
      </c>
      <c r="D43" s="29" t="str">
        <f>IF(Worksheet!E43&lt;&gt;"",Worksheet!U43,"")</f>
        <v/>
      </c>
      <c r="E43" s="17" t="str">
        <f>IF(AND(Worksheet!E43&lt;&gt;"",Worksheet!F43&lt;&gt;"",Worksheet!G43&lt;&gt;""),Worksheet!I43,"")</f>
        <v/>
      </c>
      <c r="F43" s="58" t="str">
        <f>IF(Worksheet!E43&lt;&gt;"",Uncertainties!L42,"")</f>
        <v/>
      </c>
      <c r="G43" s="96" t="str">
        <f>IF(Worksheet!J43&lt;&gt;"",Worksheet!J43,"")</f>
        <v/>
      </c>
      <c r="H43" s="97"/>
    </row>
    <row r="44" spans="2:11" x14ac:dyDescent="0.25">
      <c r="B44" s="78" t="str">
        <f>IF(Worksheet!B44&lt;&gt;"",Worksheet!B44,"")</f>
        <v/>
      </c>
      <c r="C44" s="14" t="str">
        <f>IF(Worksheet!D44&lt;&gt;"",Worksheet!D44,"")</f>
        <v/>
      </c>
      <c r="D44" s="29" t="str">
        <f>IF(Worksheet!E44&lt;&gt;"",Worksheet!U44,"")</f>
        <v/>
      </c>
      <c r="E44" s="17" t="str">
        <f>IF(AND(Worksheet!E44&lt;&gt;"",Worksheet!F44&lt;&gt;"",Worksheet!G44&lt;&gt;""),Worksheet!I44,"")</f>
        <v/>
      </c>
      <c r="F44" s="58" t="str">
        <f>IF(Worksheet!E44&lt;&gt;"",Uncertainties!L43,"")</f>
        <v/>
      </c>
      <c r="G44" s="96" t="str">
        <f>IF(Worksheet!J44&lt;&gt;"",Worksheet!J44,"")</f>
        <v/>
      </c>
      <c r="H44" s="97"/>
    </row>
    <row r="45" spans="2:11" x14ac:dyDescent="0.25">
      <c r="B45" s="79" t="str">
        <f>IF(Worksheet!B45&lt;&gt;"",Worksheet!B45,"")</f>
        <v/>
      </c>
      <c r="C45" s="14" t="str">
        <f>IF(Worksheet!D45&lt;&gt;"",Worksheet!D45,"")</f>
        <v/>
      </c>
      <c r="D45" s="29" t="str">
        <f>IF(Worksheet!E45&lt;&gt;"",Worksheet!U45,"")</f>
        <v/>
      </c>
      <c r="E45" s="17" t="str">
        <f>IF(AND(Worksheet!E45&lt;&gt;"",Worksheet!F45&lt;&gt;"",Worksheet!G45&lt;&gt;""),Worksheet!I45,"")</f>
        <v/>
      </c>
      <c r="F45" s="58" t="str">
        <f>IF(Worksheet!E45&lt;&gt;"",Uncertainties!L44,"")</f>
        <v/>
      </c>
      <c r="G45" s="96" t="str">
        <f>IF(Worksheet!J45&lt;&gt;"",Worksheet!J45,"")</f>
        <v/>
      </c>
      <c r="H45" s="97"/>
    </row>
    <row r="46" spans="2:11" x14ac:dyDescent="0.25">
      <c r="C46" s="100" t="s">
        <v>38</v>
      </c>
      <c r="D46" s="100"/>
      <c r="E46" s="100"/>
      <c r="F46" s="100"/>
      <c r="G46" s="100"/>
      <c r="H46" t="s">
        <v>28</v>
      </c>
      <c r="I46" s="6">
        <v>3</v>
      </c>
      <c r="J46" s="10" t="s">
        <v>30</v>
      </c>
      <c r="K46" s="10">
        <f>IF(OR(C100&lt;&gt;"",C101&lt;&gt;"",C102&lt;&gt;"",C103&lt;&gt;"",C104&lt;&gt;""),4,3)</f>
        <v>3</v>
      </c>
    </row>
    <row r="47" spans="2:11" ht="18" x14ac:dyDescent="0.25">
      <c r="B47" s="98" t="s">
        <v>31</v>
      </c>
      <c r="C47" s="98"/>
      <c r="D47" s="98"/>
      <c r="E47" s="98"/>
      <c r="F47" s="98"/>
      <c r="G47" s="98"/>
      <c r="H47" s="98"/>
      <c r="I47" s="6"/>
    </row>
    <row r="48" spans="2:11" ht="15.75" x14ac:dyDescent="0.25">
      <c r="B48" s="2" t="s">
        <v>32</v>
      </c>
      <c r="C48" s="80" t="str">
        <f>IF(Worksheet!$E$2&lt;&gt;"",Worksheet!$E$2,"")</f>
        <v xml:space="preserve"> </v>
      </c>
      <c r="D48" s="2" t="s">
        <v>33</v>
      </c>
      <c r="E48" s="77" t="str">
        <f>IF(Worksheet!$H$2&lt;&gt;"",Worksheet!$H$2,"")</f>
        <v xml:space="preserve"> </v>
      </c>
      <c r="F48" s="2" t="s">
        <v>0</v>
      </c>
      <c r="G48" s="99" t="str">
        <f>IF(Worksheet!$E$1&lt;&gt;"",Worksheet!$E$1,"")</f>
        <v xml:space="preserve"> </v>
      </c>
      <c r="H48" s="99"/>
      <c r="I48" s="6"/>
    </row>
    <row r="49" spans="2:9" x14ac:dyDescent="0.25">
      <c r="B49" s="53"/>
      <c r="C49" s="7"/>
      <c r="D49" s="8"/>
      <c r="E49" s="18"/>
      <c r="F49" s="5"/>
      <c r="G49" s="5"/>
      <c r="I49" s="6"/>
    </row>
    <row r="50" spans="2:9" ht="26.25" x14ac:dyDescent="0.25">
      <c r="B50" s="59" t="s">
        <v>34</v>
      </c>
      <c r="C50" s="4" t="s">
        <v>24</v>
      </c>
      <c r="D50" s="4" t="s">
        <v>35</v>
      </c>
      <c r="E50" s="4" t="s">
        <v>36</v>
      </c>
      <c r="F50" s="4" t="s">
        <v>37</v>
      </c>
      <c r="G50" s="101" t="s">
        <v>16</v>
      </c>
      <c r="H50" s="101"/>
    </row>
    <row r="51" spans="2:9" x14ac:dyDescent="0.25">
      <c r="B51" s="64" t="str">
        <f>IF(Worksheet!B48&lt;&gt;"",Worksheet!B48,"")</f>
        <v/>
      </c>
      <c r="C51" s="14" t="str">
        <f>IF(Worksheet!D48&lt;&gt;"",Worksheet!D48,"")</f>
        <v/>
      </c>
      <c r="D51" s="29" t="str">
        <f>IF(Worksheet!E48&lt;&gt;"",Worksheet!U48,"")</f>
        <v/>
      </c>
      <c r="E51" s="17" t="str">
        <f>IF(AND(Worksheet!E48&lt;&gt;"",Worksheet!F48&lt;&gt;"",Worksheet!G48&lt;&gt;""),Worksheet!I48,"")</f>
        <v/>
      </c>
      <c r="F51" s="58" t="str">
        <f>IF(Worksheet!E48&lt;&gt;"",Uncertainties!L47,"")</f>
        <v/>
      </c>
      <c r="G51" s="96" t="str">
        <f>IF(Worksheet!J48&lt;&gt;"",Worksheet!J48,"")</f>
        <v/>
      </c>
      <c r="H51" s="97"/>
    </row>
    <row r="52" spans="2:9" x14ac:dyDescent="0.25">
      <c r="B52" s="65" t="str">
        <f>IF(Worksheet!B49&lt;&gt;"",Worksheet!B49,"")</f>
        <v/>
      </c>
      <c r="C52" s="14" t="str">
        <f>IF(Worksheet!D49&lt;&gt;"",Worksheet!D49,"")</f>
        <v/>
      </c>
      <c r="D52" s="29" t="str">
        <f>IF(Worksheet!E49&lt;&gt;"",Worksheet!U49,"")</f>
        <v/>
      </c>
      <c r="E52" s="17" t="str">
        <f>IF(AND(Worksheet!E49&lt;&gt;"",Worksheet!F49&lt;&gt;"",Worksheet!G49&lt;&gt;""),Worksheet!I49,"")</f>
        <v/>
      </c>
      <c r="F52" s="58" t="str">
        <f>IF(Worksheet!E49&lt;&gt;"",Uncertainties!L48,"")</f>
        <v/>
      </c>
      <c r="G52" s="96" t="str">
        <f>IF(Worksheet!J49&lt;&gt;"",Worksheet!J49,"")</f>
        <v/>
      </c>
      <c r="H52" s="97"/>
    </row>
    <row r="53" spans="2:9" x14ac:dyDescent="0.25">
      <c r="B53" s="65" t="str">
        <f>IF(Worksheet!B50&lt;&gt;"",Worksheet!B50,"")</f>
        <v/>
      </c>
      <c r="C53" s="14" t="str">
        <f>IF(Worksheet!D50&lt;&gt;"",Worksheet!D50,"")</f>
        <v/>
      </c>
      <c r="D53" s="29" t="str">
        <f>IF(Worksheet!E50&lt;&gt;"",Worksheet!U50,"")</f>
        <v/>
      </c>
      <c r="E53" s="17" t="str">
        <f>IF(AND(Worksheet!E50&lt;&gt;"",Worksheet!F50&lt;&gt;"",Worksheet!G50&lt;&gt;""),Worksheet!I50,"")</f>
        <v/>
      </c>
      <c r="F53" s="58" t="str">
        <f>IF(Worksheet!E50&lt;&gt;"",Uncertainties!L49,"")</f>
        <v/>
      </c>
      <c r="G53" s="96" t="str">
        <f>IF(Worksheet!J50&lt;&gt;"",Worksheet!J50,"")</f>
        <v/>
      </c>
      <c r="H53" s="97"/>
    </row>
    <row r="54" spans="2:9" x14ac:dyDescent="0.25">
      <c r="B54" s="65" t="str">
        <f>IF(Worksheet!B51&lt;&gt;"",Worksheet!B51,"")</f>
        <v/>
      </c>
      <c r="C54" s="14" t="str">
        <f>IF(Worksheet!D51&lt;&gt;"",Worksheet!D51,"")</f>
        <v/>
      </c>
      <c r="D54" s="29" t="str">
        <f>IF(Worksheet!E51&lt;&gt;"",Worksheet!U51,"")</f>
        <v/>
      </c>
      <c r="E54" s="17" t="str">
        <f>IF(AND(Worksheet!E51&lt;&gt;"",Worksheet!F51&lt;&gt;"",Worksheet!G51&lt;&gt;""),Worksheet!I51,"")</f>
        <v/>
      </c>
      <c r="F54" s="58" t="str">
        <f>IF(Worksheet!E51&lt;&gt;"",Uncertainties!L50,"")</f>
        <v/>
      </c>
      <c r="G54" s="96" t="str">
        <f>IF(Worksheet!J51&lt;&gt;"",Worksheet!J51,"")</f>
        <v/>
      </c>
      <c r="H54" s="97"/>
    </row>
    <row r="55" spans="2:9" x14ac:dyDescent="0.25">
      <c r="B55" s="65" t="str">
        <f>IF(Worksheet!B52&lt;&gt;"",Worksheet!B52,"")</f>
        <v/>
      </c>
      <c r="C55" s="14" t="str">
        <f>IF(Worksheet!D52&lt;&gt;"",Worksheet!D52,"")</f>
        <v/>
      </c>
      <c r="D55" s="29" t="str">
        <f>IF(Worksheet!E52&lt;&gt;"",Worksheet!U52,"")</f>
        <v/>
      </c>
      <c r="E55" s="17" t="str">
        <f>IF(AND(Worksheet!E52&lt;&gt;"",Worksheet!F52&lt;&gt;"",Worksheet!G52&lt;&gt;""),Worksheet!I52,"")</f>
        <v/>
      </c>
      <c r="F55" s="58" t="str">
        <f>IF(Worksheet!E52&lt;&gt;"",Uncertainties!L51,"")</f>
        <v/>
      </c>
      <c r="G55" s="96" t="str">
        <f>IF(Worksheet!J52&lt;&gt;"",Worksheet!J52,"")</f>
        <v/>
      </c>
      <c r="H55" s="97"/>
    </row>
    <row r="56" spans="2:9" x14ac:dyDescent="0.25">
      <c r="B56" s="65" t="str">
        <f>IF(Worksheet!B53&lt;&gt;"",Worksheet!B53,"")</f>
        <v/>
      </c>
      <c r="C56" s="14" t="str">
        <f>IF(Worksheet!D53&lt;&gt;"",Worksheet!D53,"")</f>
        <v/>
      </c>
      <c r="D56" s="29" t="str">
        <f>IF(Worksheet!E53&lt;&gt;"",Worksheet!U53,"")</f>
        <v/>
      </c>
      <c r="E56" s="17" t="str">
        <f>IF(AND(Worksheet!E53&lt;&gt;"",Worksheet!F53&lt;&gt;"",Worksheet!G53&lt;&gt;""),Worksheet!I53,"")</f>
        <v/>
      </c>
      <c r="F56" s="58" t="str">
        <f>IF(Worksheet!E53&lt;&gt;"",Uncertainties!L52,"")</f>
        <v/>
      </c>
      <c r="G56" s="96" t="str">
        <f>IF(Worksheet!J53&lt;&gt;"",Worksheet!J53,"")</f>
        <v/>
      </c>
      <c r="H56" s="97"/>
    </row>
    <row r="57" spans="2:9" x14ac:dyDescent="0.25">
      <c r="B57" s="65" t="str">
        <f>IF(Worksheet!B54&lt;&gt;"",Worksheet!B54,"")</f>
        <v/>
      </c>
      <c r="C57" s="14" t="str">
        <f>IF(Worksheet!D54&lt;&gt;"",Worksheet!D54,"")</f>
        <v/>
      </c>
      <c r="D57" s="29" t="str">
        <f>IF(Worksheet!E54&lt;&gt;"",Worksheet!U54,"")</f>
        <v/>
      </c>
      <c r="E57" s="17" t="str">
        <f>IF(AND(Worksheet!E54&lt;&gt;"",Worksheet!F54&lt;&gt;"",Worksheet!G54&lt;&gt;""),Worksheet!I54,"")</f>
        <v/>
      </c>
      <c r="F57" s="58" t="str">
        <f>IF(Worksheet!E54&lt;&gt;"",Uncertainties!L53,"")</f>
        <v/>
      </c>
      <c r="G57" s="96" t="str">
        <f>IF(Worksheet!J54&lt;&gt;"",Worksheet!J54,"")</f>
        <v/>
      </c>
      <c r="H57" s="97"/>
    </row>
    <row r="58" spans="2:9" x14ac:dyDescent="0.25">
      <c r="B58" s="65" t="str">
        <f>IF(Worksheet!B55&lt;&gt;"",Worksheet!B55,"")</f>
        <v/>
      </c>
      <c r="C58" s="14" t="str">
        <f>IF(Worksheet!D55&lt;&gt;"",Worksheet!D55,"")</f>
        <v/>
      </c>
      <c r="D58" s="29" t="str">
        <f>IF(Worksheet!E55&lt;&gt;"",Worksheet!U55,"")</f>
        <v/>
      </c>
      <c r="E58" s="17" t="str">
        <f>IF(AND(Worksheet!E55&lt;&gt;"",Worksheet!F55&lt;&gt;"",Worksheet!G55&lt;&gt;""),Worksheet!I55,"")</f>
        <v/>
      </c>
      <c r="F58" s="58" t="str">
        <f>IF(Worksheet!E55&lt;&gt;"",Uncertainties!L54,"")</f>
        <v/>
      </c>
      <c r="G58" s="96" t="str">
        <f>IF(Worksheet!J55&lt;&gt;"",Worksheet!J55,"")</f>
        <v/>
      </c>
      <c r="H58" s="97"/>
    </row>
    <row r="59" spans="2:9" x14ac:dyDescent="0.25">
      <c r="B59" s="65" t="str">
        <f>IF(Worksheet!B56&lt;&gt;"",Worksheet!B56,"")</f>
        <v/>
      </c>
      <c r="C59" s="14" t="str">
        <f>IF(Worksheet!D56&lt;&gt;"",Worksheet!D56,"")</f>
        <v/>
      </c>
      <c r="D59" s="29" t="str">
        <f>IF(Worksheet!E56&lt;&gt;"",Worksheet!U56,"")</f>
        <v/>
      </c>
      <c r="E59" s="17" t="str">
        <f>IF(AND(Worksheet!E56&lt;&gt;"",Worksheet!F56&lt;&gt;"",Worksheet!G56&lt;&gt;""),Worksheet!I56,"")</f>
        <v/>
      </c>
      <c r="F59" s="58" t="str">
        <f>IF(Worksheet!E56&lt;&gt;"",Uncertainties!L55,"")</f>
        <v/>
      </c>
      <c r="G59" s="96" t="str">
        <f>IF(Worksheet!J56&lt;&gt;"",Worksheet!J56,"")</f>
        <v/>
      </c>
      <c r="H59" s="97"/>
    </row>
    <row r="60" spans="2:9" x14ac:dyDescent="0.25">
      <c r="B60" s="65" t="str">
        <f>IF(Worksheet!B57&lt;&gt;"",Worksheet!B57,"")</f>
        <v/>
      </c>
      <c r="C60" s="14" t="str">
        <f>IF(Worksheet!D57&lt;&gt;"",Worksheet!D57,"")</f>
        <v/>
      </c>
      <c r="D60" s="29" t="str">
        <f>IF(Worksheet!E57&lt;&gt;"",Worksheet!U57,"")</f>
        <v/>
      </c>
      <c r="E60" s="17" t="str">
        <f>IF(AND(Worksheet!E57&lt;&gt;"",Worksheet!F57&lt;&gt;"",Worksheet!G57&lt;&gt;""),Worksheet!I57,"")</f>
        <v/>
      </c>
      <c r="F60" s="58" t="str">
        <f>IF(Worksheet!E57&lt;&gt;"",Uncertainties!L56,"")</f>
        <v/>
      </c>
      <c r="G60" s="96" t="str">
        <f>IF(Worksheet!J57&lt;&gt;"",Worksheet!J57,"")</f>
        <v/>
      </c>
      <c r="H60" s="97"/>
    </row>
    <row r="61" spans="2:9" x14ac:dyDescent="0.25">
      <c r="B61" s="65" t="str">
        <f>IF(Worksheet!B58&lt;&gt;"",Worksheet!B58,"")</f>
        <v/>
      </c>
      <c r="C61" s="14" t="str">
        <f>IF(Worksheet!D58&lt;&gt;"",Worksheet!D58,"")</f>
        <v/>
      </c>
      <c r="D61" s="29" t="str">
        <f>IF(Worksheet!E58&lt;&gt;"",Worksheet!U58,"")</f>
        <v/>
      </c>
      <c r="E61" s="17" t="str">
        <f>IF(AND(Worksheet!E58&lt;&gt;"",Worksheet!F58&lt;&gt;"",Worksheet!G58&lt;&gt;""),Worksheet!I58,"")</f>
        <v/>
      </c>
      <c r="F61" s="58" t="str">
        <f>IF(Worksheet!E58&lt;&gt;"",Uncertainties!L57,"")</f>
        <v/>
      </c>
      <c r="G61" s="96" t="str">
        <f>IF(Worksheet!J58&lt;&gt;"",Worksheet!J58,"")</f>
        <v/>
      </c>
      <c r="H61" s="97"/>
    </row>
    <row r="62" spans="2:9" x14ac:dyDescent="0.25">
      <c r="B62" s="65" t="str">
        <f>IF(Worksheet!B59&lt;&gt;"",Worksheet!B59,"")</f>
        <v/>
      </c>
      <c r="C62" s="14" t="str">
        <f>IF(Worksheet!D59&lt;&gt;"",Worksheet!D59,"")</f>
        <v/>
      </c>
      <c r="D62" s="29" t="str">
        <f>IF(Worksheet!E59&lt;&gt;"",Worksheet!U59,"")</f>
        <v/>
      </c>
      <c r="E62" s="17" t="str">
        <f>IF(AND(Worksheet!E59&lt;&gt;"",Worksheet!F59&lt;&gt;"",Worksheet!G59&lt;&gt;""),Worksheet!I59,"")</f>
        <v/>
      </c>
      <c r="F62" s="58" t="str">
        <f>IF(Worksheet!E59&lt;&gt;"",Uncertainties!L58,"")</f>
        <v/>
      </c>
      <c r="G62" s="96" t="str">
        <f>IF(Worksheet!J59&lt;&gt;"",Worksheet!J59,"")</f>
        <v/>
      </c>
      <c r="H62" s="97"/>
    </row>
    <row r="63" spans="2:9" x14ac:dyDescent="0.25">
      <c r="B63" s="65" t="str">
        <f>IF(Worksheet!B60&lt;&gt;"",Worksheet!B60,"")</f>
        <v/>
      </c>
      <c r="C63" s="14" t="str">
        <f>IF(Worksheet!D60&lt;&gt;"",Worksheet!D60,"")</f>
        <v/>
      </c>
      <c r="D63" s="29" t="str">
        <f>IF(Worksheet!E60&lt;&gt;"",Worksheet!U60,"")</f>
        <v/>
      </c>
      <c r="E63" s="17" t="str">
        <f>IF(AND(Worksheet!E60&lt;&gt;"",Worksheet!F60&lt;&gt;"",Worksheet!G60&lt;&gt;""),Worksheet!I60,"")</f>
        <v/>
      </c>
      <c r="F63" s="58" t="str">
        <f>IF(Worksheet!E60&lt;&gt;"",Uncertainties!L59,"")</f>
        <v/>
      </c>
      <c r="G63" s="96" t="str">
        <f>IF(Worksheet!J60&lt;&gt;"",Worksheet!J60,"")</f>
        <v/>
      </c>
      <c r="H63" s="97"/>
    </row>
    <row r="64" spans="2:9" x14ac:dyDescent="0.25">
      <c r="B64" s="65" t="str">
        <f>IF(Worksheet!B61&lt;&gt;"",Worksheet!B61,"")</f>
        <v/>
      </c>
      <c r="C64" s="14" t="str">
        <f>IF(Worksheet!D61&lt;&gt;"",Worksheet!D61,"")</f>
        <v/>
      </c>
      <c r="D64" s="29" t="str">
        <f>IF(Worksheet!E61&lt;&gt;"",Worksheet!U61,"")</f>
        <v/>
      </c>
      <c r="E64" s="17" t="str">
        <f>IF(AND(Worksheet!E61&lt;&gt;"",Worksheet!F61&lt;&gt;"",Worksheet!G61&lt;&gt;""),Worksheet!I61,"")</f>
        <v/>
      </c>
      <c r="F64" s="58" t="str">
        <f>IF(Worksheet!E61&lt;&gt;"",Uncertainties!L60,"")</f>
        <v/>
      </c>
      <c r="G64" s="96" t="str">
        <f>IF(Worksheet!J61&lt;&gt;"",Worksheet!J61,"")</f>
        <v/>
      </c>
      <c r="H64" s="97"/>
    </row>
    <row r="65" spans="2:8" x14ac:dyDescent="0.25">
      <c r="B65" s="65" t="str">
        <f>IF(Worksheet!B62&lt;&gt;"",Worksheet!B62,"")</f>
        <v/>
      </c>
      <c r="C65" s="14" t="str">
        <f>IF(Worksheet!D62&lt;&gt;"",Worksheet!D62,"")</f>
        <v/>
      </c>
      <c r="D65" s="29" t="str">
        <f>IF(Worksheet!E62&lt;&gt;"",Worksheet!U62,"")</f>
        <v/>
      </c>
      <c r="E65" s="17" t="str">
        <f>IF(AND(Worksheet!E62&lt;&gt;"",Worksheet!F62&lt;&gt;"",Worksheet!G62&lt;&gt;""),Worksheet!I62,"")</f>
        <v/>
      </c>
      <c r="F65" s="58" t="str">
        <f>IF(Worksheet!E62&lt;&gt;"",Uncertainties!L61,"")</f>
        <v/>
      </c>
      <c r="G65" s="96" t="str">
        <f>IF(Worksheet!J62&lt;&gt;"",Worksheet!J62,"")</f>
        <v/>
      </c>
      <c r="H65" s="97"/>
    </row>
    <row r="66" spans="2:8" x14ac:dyDescent="0.25">
      <c r="B66" s="65" t="str">
        <f>IF(Worksheet!B63&lt;&gt;"",Worksheet!B63,"")</f>
        <v/>
      </c>
      <c r="C66" s="14" t="str">
        <f>IF(Worksheet!D63&lt;&gt;"",Worksheet!D63,"")</f>
        <v/>
      </c>
      <c r="D66" s="29" t="str">
        <f>IF(Worksheet!E63&lt;&gt;"",Worksheet!U63,"")</f>
        <v/>
      </c>
      <c r="E66" s="17" t="str">
        <f>IF(AND(Worksheet!E63&lt;&gt;"",Worksheet!F63&lt;&gt;"",Worksheet!G63&lt;&gt;""),Worksheet!I63,"")</f>
        <v/>
      </c>
      <c r="F66" s="58" t="str">
        <f>IF(Worksheet!E63&lt;&gt;"",Uncertainties!L62,"")</f>
        <v/>
      </c>
      <c r="G66" s="96" t="str">
        <f>IF(Worksheet!J63&lt;&gt;"",Worksheet!J63,"")</f>
        <v/>
      </c>
      <c r="H66" s="97"/>
    </row>
    <row r="67" spans="2:8" x14ac:dyDescent="0.25">
      <c r="B67" s="65" t="str">
        <f>IF(Worksheet!B64&lt;&gt;"",Worksheet!B64,"")</f>
        <v/>
      </c>
      <c r="C67" s="14" t="str">
        <f>IF(Worksheet!D64&lt;&gt;"",Worksheet!D64,"")</f>
        <v/>
      </c>
      <c r="D67" s="29" t="str">
        <f>IF(Worksheet!E64&lt;&gt;"",Worksheet!U64,"")</f>
        <v/>
      </c>
      <c r="E67" s="17" t="str">
        <f>IF(AND(Worksheet!E64&lt;&gt;"",Worksheet!F64&lt;&gt;"",Worksheet!G64&lt;&gt;""),Worksheet!I64,"")</f>
        <v/>
      </c>
      <c r="F67" s="58" t="str">
        <f>IF(Worksheet!E64&lt;&gt;"",Uncertainties!L63,"")</f>
        <v/>
      </c>
      <c r="G67" s="96" t="str">
        <f>IF(Worksheet!J64&lt;&gt;"",Worksheet!J64,"")</f>
        <v/>
      </c>
      <c r="H67" s="97"/>
    </row>
    <row r="68" spans="2:8" x14ac:dyDescent="0.25">
      <c r="B68" s="65" t="str">
        <f>IF(Worksheet!B65&lt;&gt;"",Worksheet!B65,"")</f>
        <v/>
      </c>
      <c r="C68" s="14" t="str">
        <f>IF(Worksheet!D65&lt;&gt;"",Worksheet!D65,"")</f>
        <v/>
      </c>
      <c r="D68" s="29" t="str">
        <f>IF(Worksheet!E65&lt;&gt;"",Worksheet!U65,"")</f>
        <v/>
      </c>
      <c r="E68" s="17" t="str">
        <f>IF(AND(Worksheet!E65&lt;&gt;"",Worksheet!F65&lt;&gt;"",Worksheet!G65&lt;&gt;""),Worksheet!I65,"")</f>
        <v/>
      </c>
      <c r="F68" s="58" t="str">
        <f>IF(Worksheet!E65&lt;&gt;"",Uncertainties!L64,"")</f>
        <v/>
      </c>
      <c r="G68" s="96" t="str">
        <f>IF(Worksheet!J65&lt;&gt;"",Worksheet!J65,"")</f>
        <v/>
      </c>
      <c r="H68" s="97"/>
    </row>
    <row r="69" spans="2:8" x14ac:dyDescent="0.25">
      <c r="B69" s="65" t="str">
        <f>IF(Worksheet!B66&lt;&gt;"",Worksheet!B66,"")</f>
        <v/>
      </c>
      <c r="C69" s="14" t="str">
        <f>IF(Worksheet!D66&lt;&gt;"",Worksheet!D66,"")</f>
        <v/>
      </c>
      <c r="D69" s="29" t="str">
        <f>IF(Worksheet!E66&lt;&gt;"",Worksheet!U66,"")</f>
        <v/>
      </c>
      <c r="E69" s="17" t="str">
        <f>IF(AND(Worksheet!E66&lt;&gt;"",Worksheet!F66&lt;&gt;"",Worksheet!G66&lt;&gt;""),Worksheet!I66,"")</f>
        <v/>
      </c>
      <c r="F69" s="58" t="str">
        <f>IF(Worksheet!E66&lt;&gt;"",Uncertainties!L65,"")</f>
        <v/>
      </c>
      <c r="G69" s="96" t="str">
        <f>IF(Worksheet!J66&lt;&gt;"",Worksheet!J66,"")</f>
        <v/>
      </c>
      <c r="H69" s="97"/>
    </row>
    <row r="70" spans="2:8" x14ac:dyDescent="0.25">
      <c r="B70" s="65" t="str">
        <f>IF(Worksheet!B67&lt;&gt;"",Worksheet!B67,"")</f>
        <v/>
      </c>
      <c r="C70" s="14" t="str">
        <f>IF(Worksheet!D67&lt;&gt;"",Worksheet!D67,"")</f>
        <v/>
      </c>
      <c r="D70" s="29" t="str">
        <f>IF(Worksheet!E67&lt;&gt;"",Worksheet!U67,"")</f>
        <v/>
      </c>
      <c r="E70" s="17" t="str">
        <f>IF(AND(Worksheet!E67&lt;&gt;"",Worksheet!F67&lt;&gt;"",Worksheet!G67&lt;&gt;""),Worksheet!I67,"")</f>
        <v/>
      </c>
      <c r="F70" s="58" t="str">
        <f>IF(Worksheet!E67&lt;&gt;"",Uncertainties!L66,"")</f>
        <v/>
      </c>
      <c r="G70" s="96" t="str">
        <f>IF(Worksheet!J67&lt;&gt;"",Worksheet!J67,"")</f>
        <v/>
      </c>
      <c r="H70" s="97"/>
    </row>
    <row r="71" spans="2:8" x14ac:dyDescent="0.25">
      <c r="B71" s="65" t="str">
        <f>IF(Worksheet!B68&lt;&gt;"",Worksheet!B68,"")</f>
        <v/>
      </c>
      <c r="C71" s="14" t="str">
        <f>IF(Worksheet!D68&lt;&gt;"",Worksheet!D68,"")</f>
        <v/>
      </c>
      <c r="D71" s="29" t="str">
        <f>IF(Worksheet!E68&lt;&gt;"",Worksheet!U68,"")</f>
        <v/>
      </c>
      <c r="E71" s="17" t="str">
        <f>IF(AND(Worksheet!E68&lt;&gt;"",Worksheet!F68&lt;&gt;"",Worksheet!G68&lt;&gt;""),Worksheet!I68,"")</f>
        <v/>
      </c>
      <c r="F71" s="58" t="str">
        <f>IF(Worksheet!E68&lt;&gt;"",Uncertainties!L67,"")</f>
        <v/>
      </c>
      <c r="G71" s="96" t="str">
        <f>IF(Worksheet!J68&lt;&gt;"",Worksheet!J68,"")</f>
        <v/>
      </c>
      <c r="H71" s="97"/>
    </row>
    <row r="72" spans="2:8" x14ac:dyDescent="0.25">
      <c r="B72" s="65" t="str">
        <f>IF(Worksheet!B69&lt;&gt;"",Worksheet!B69,"")</f>
        <v/>
      </c>
      <c r="C72" s="14" t="str">
        <f>IF(Worksheet!D69&lt;&gt;"",Worksheet!D69,"")</f>
        <v/>
      </c>
      <c r="D72" s="29" t="str">
        <f>IF(Worksheet!E69&lt;&gt;"",Worksheet!U69,"")</f>
        <v/>
      </c>
      <c r="E72" s="17" t="str">
        <f>IF(AND(Worksheet!E69&lt;&gt;"",Worksheet!F69&lt;&gt;"",Worksheet!G69&lt;&gt;""),Worksheet!I69,"")</f>
        <v/>
      </c>
      <c r="F72" s="58" t="str">
        <f>IF(Worksheet!E69&lt;&gt;"",Uncertainties!L68,"")</f>
        <v/>
      </c>
      <c r="G72" s="96" t="str">
        <f>IF(Worksheet!J69&lt;&gt;"",Worksheet!J69,"")</f>
        <v/>
      </c>
      <c r="H72" s="97"/>
    </row>
    <row r="73" spans="2:8" x14ac:dyDescent="0.25">
      <c r="B73" s="65" t="str">
        <f>IF(Worksheet!B70&lt;&gt;"",Worksheet!B70,"")</f>
        <v/>
      </c>
      <c r="C73" s="14" t="str">
        <f>IF(Worksheet!D70&lt;&gt;"",Worksheet!D70,"")</f>
        <v/>
      </c>
      <c r="D73" s="29" t="str">
        <f>IF(Worksheet!E70&lt;&gt;"",Worksheet!U70,"")</f>
        <v/>
      </c>
      <c r="E73" s="17" t="str">
        <f>IF(AND(Worksheet!E70&lt;&gt;"",Worksheet!F70&lt;&gt;"",Worksheet!G70&lt;&gt;""),Worksheet!I70,"")</f>
        <v/>
      </c>
      <c r="F73" s="58" t="str">
        <f>IF(Worksheet!E70&lt;&gt;"",Uncertainties!L69,"")</f>
        <v/>
      </c>
      <c r="G73" s="96" t="str">
        <f>IF(Worksheet!J70&lt;&gt;"",Worksheet!J70,"")</f>
        <v/>
      </c>
      <c r="H73" s="97"/>
    </row>
    <row r="74" spans="2:8" x14ac:dyDescent="0.25">
      <c r="B74" s="65" t="str">
        <f>IF(Worksheet!B71&lt;&gt;"",Worksheet!B71,"")</f>
        <v/>
      </c>
      <c r="C74" s="14" t="str">
        <f>IF(Worksheet!D71&lt;&gt;"",Worksheet!D71,"")</f>
        <v/>
      </c>
      <c r="D74" s="29" t="str">
        <f>IF(Worksheet!E71&lt;&gt;"",Worksheet!U71,"")</f>
        <v/>
      </c>
      <c r="E74" s="17" t="str">
        <f>IF(AND(Worksheet!E71&lt;&gt;"",Worksheet!F71&lt;&gt;"",Worksheet!G71&lt;&gt;""),Worksheet!I71,"")</f>
        <v/>
      </c>
      <c r="F74" s="58" t="str">
        <f>IF(Worksheet!E71&lt;&gt;"",Uncertainties!L70,"")</f>
        <v/>
      </c>
      <c r="G74" s="96" t="str">
        <f>IF(Worksheet!J71&lt;&gt;"",Worksheet!J71,"")</f>
        <v/>
      </c>
      <c r="H74" s="97"/>
    </row>
    <row r="75" spans="2:8" x14ac:dyDescent="0.25">
      <c r="B75" s="65" t="str">
        <f>IF(Worksheet!B72&lt;&gt;"",Worksheet!B72,"")</f>
        <v/>
      </c>
      <c r="C75" s="14" t="str">
        <f>IF(Worksheet!D72&lt;&gt;"",Worksheet!D72,"")</f>
        <v/>
      </c>
      <c r="D75" s="29" t="str">
        <f>IF(Worksheet!E72&lt;&gt;"",Worksheet!U72,"")</f>
        <v/>
      </c>
      <c r="E75" s="17" t="str">
        <f>IF(AND(Worksheet!E72&lt;&gt;"",Worksheet!F72&lt;&gt;"",Worksheet!G72&lt;&gt;""),Worksheet!I72,"")</f>
        <v/>
      </c>
      <c r="F75" s="58" t="str">
        <f>IF(Worksheet!E72&lt;&gt;"",Uncertainties!L71,"")</f>
        <v/>
      </c>
      <c r="G75" s="96" t="str">
        <f>IF(Worksheet!J72&lt;&gt;"",Worksheet!J72,"")</f>
        <v/>
      </c>
      <c r="H75" s="97"/>
    </row>
    <row r="76" spans="2:8" x14ac:dyDescent="0.25">
      <c r="B76" s="65" t="str">
        <f>IF(Worksheet!B73&lt;&gt;"",Worksheet!B73,"")</f>
        <v/>
      </c>
      <c r="C76" s="14" t="str">
        <f>IF(Worksheet!D73&lt;&gt;"",Worksheet!D73,"")</f>
        <v/>
      </c>
      <c r="D76" s="29" t="str">
        <f>IF(Worksheet!E73&lt;&gt;"",Worksheet!U73,"")</f>
        <v/>
      </c>
      <c r="E76" s="17" t="str">
        <f>IF(AND(Worksheet!E73&lt;&gt;"",Worksheet!F73&lt;&gt;"",Worksheet!G73&lt;&gt;""),Worksheet!I73,"")</f>
        <v/>
      </c>
      <c r="F76" s="58" t="str">
        <f>IF(Worksheet!E73&lt;&gt;"",Uncertainties!L72,"")</f>
        <v/>
      </c>
      <c r="G76" s="96" t="str">
        <f>IF(Worksheet!J73&lt;&gt;"",Worksheet!J73,"")</f>
        <v/>
      </c>
      <c r="H76" s="97"/>
    </row>
    <row r="77" spans="2:8" x14ac:dyDescent="0.25">
      <c r="B77" s="65" t="str">
        <f>IF(Worksheet!B74&lt;&gt;"",Worksheet!B74,"")</f>
        <v/>
      </c>
      <c r="C77" s="14" t="str">
        <f>IF(Worksheet!D74&lt;&gt;"",Worksheet!D74,"")</f>
        <v/>
      </c>
      <c r="D77" s="29" t="str">
        <f>IF(Worksheet!E74&lt;&gt;"",Worksheet!U74,"")</f>
        <v/>
      </c>
      <c r="E77" s="17" t="str">
        <f>IF(AND(Worksheet!E74&lt;&gt;"",Worksheet!F74&lt;&gt;"",Worksheet!G74&lt;&gt;""),Worksheet!I74,"")</f>
        <v/>
      </c>
      <c r="F77" s="58" t="str">
        <f>IF(Worksheet!E74&lt;&gt;"",Uncertainties!L73,"")</f>
        <v/>
      </c>
      <c r="G77" s="96" t="str">
        <f>IF(Worksheet!J74&lt;&gt;"",Worksheet!J74,"")</f>
        <v/>
      </c>
      <c r="H77" s="97"/>
    </row>
    <row r="78" spans="2:8" x14ac:dyDescent="0.25">
      <c r="B78" s="65" t="str">
        <f>IF(Worksheet!B75&lt;&gt;"",Worksheet!B75,"")</f>
        <v/>
      </c>
      <c r="C78" s="14" t="str">
        <f>IF(Worksheet!D75&lt;&gt;"",Worksheet!D75,"")</f>
        <v/>
      </c>
      <c r="D78" s="29" t="str">
        <f>IF(Worksheet!E75&lt;&gt;"",Worksheet!U75,"")</f>
        <v/>
      </c>
      <c r="E78" s="17" t="str">
        <f>IF(AND(Worksheet!E75&lt;&gt;"",Worksheet!F75&lt;&gt;"",Worksheet!G75&lt;&gt;""),Worksheet!I75,"")</f>
        <v/>
      </c>
      <c r="F78" s="58" t="str">
        <f>IF(Worksheet!E75&lt;&gt;"",Uncertainties!L74,"")</f>
        <v/>
      </c>
      <c r="G78" s="96" t="str">
        <f>IF(Worksheet!J75&lt;&gt;"",Worksheet!J75,"")</f>
        <v/>
      </c>
      <c r="H78" s="97"/>
    </row>
    <row r="79" spans="2:8" x14ac:dyDescent="0.25">
      <c r="B79" s="65" t="str">
        <f>IF(Worksheet!B76&lt;&gt;"",Worksheet!B76,"")</f>
        <v/>
      </c>
      <c r="C79" s="14" t="str">
        <f>IF(Worksheet!D76&lt;&gt;"",Worksheet!D76,"")</f>
        <v/>
      </c>
      <c r="D79" s="29" t="str">
        <f>IF(Worksheet!E76&lt;&gt;"",Worksheet!U76,"")</f>
        <v/>
      </c>
      <c r="E79" s="17" t="str">
        <f>IF(AND(Worksheet!E76&lt;&gt;"",Worksheet!F76&lt;&gt;"",Worksheet!G76&lt;&gt;""),Worksheet!I76,"")</f>
        <v/>
      </c>
      <c r="F79" s="58" t="str">
        <f>IF(Worksheet!E76&lt;&gt;"",Uncertainties!L75,"")</f>
        <v/>
      </c>
      <c r="G79" s="96" t="str">
        <f>IF(Worksheet!J76&lt;&gt;"",Worksheet!J76,"")</f>
        <v/>
      </c>
      <c r="H79" s="97"/>
    </row>
    <row r="80" spans="2:8" x14ac:dyDescent="0.25">
      <c r="B80" s="65" t="str">
        <f>IF(Worksheet!B77&lt;&gt;"",Worksheet!B77,"")</f>
        <v/>
      </c>
      <c r="C80" s="14" t="str">
        <f>IF(Worksheet!D77&lt;&gt;"",Worksheet!D77,"")</f>
        <v/>
      </c>
      <c r="D80" s="29" t="str">
        <f>IF(Worksheet!E77&lt;&gt;"",Worksheet!U77,"")</f>
        <v/>
      </c>
      <c r="E80" s="17" t="str">
        <f>IF(AND(Worksheet!E77&lt;&gt;"",Worksheet!F77&lt;&gt;"",Worksheet!G77&lt;&gt;""),Worksheet!I77,"")</f>
        <v/>
      </c>
      <c r="F80" s="58" t="str">
        <f>IF(Worksheet!E77&lt;&gt;"",Uncertainties!L76,"")</f>
        <v/>
      </c>
      <c r="G80" s="96" t="str">
        <f>IF(Worksheet!J77&lt;&gt;"",Worksheet!J77,"")</f>
        <v/>
      </c>
      <c r="H80" s="97"/>
    </row>
    <row r="81" spans="2:11" x14ac:dyDescent="0.25">
      <c r="B81" s="65" t="str">
        <f>IF(Worksheet!B78&lt;&gt;"",Worksheet!B78,"")</f>
        <v/>
      </c>
      <c r="C81" s="14" t="str">
        <f>IF(Worksheet!D78&lt;&gt;"",Worksheet!D78,"")</f>
        <v/>
      </c>
      <c r="D81" s="29" t="str">
        <f>IF(Worksheet!E78&lt;&gt;"",Worksheet!U78,"")</f>
        <v/>
      </c>
      <c r="E81" s="17" t="str">
        <f>IF(AND(Worksheet!E78&lt;&gt;"",Worksheet!F78&lt;&gt;"",Worksheet!G78&lt;&gt;""),Worksheet!I78,"")</f>
        <v/>
      </c>
      <c r="F81" s="58" t="str">
        <f>IF(Worksheet!E78&lt;&gt;"",Uncertainties!L77,"")</f>
        <v/>
      </c>
      <c r="G81" s="96" t="str">
        <f>IF(Worksheet!J78&lt;&gt;"",Worksheet!J78,"")</f>
        <v/>
      </c>
      <c r="H81" s="97"/>
    </row>
    <row r="82" spans="2:11" x14ac:dyDescent="0.25">
      <c r="B82" s="65" t="str">
        <f>IF(Worksheet!B79&lt;&gt;"",Worksheet!B79,"")</f>
        <v/>
      </c>
      <c r="C82" s="14" t="str">
        <f>IF(Worksheet!D79&lt;&gt;"",Worksheet!D79,"")</f>
        <v/>
      </c>
      <c r="D82" s="29" t="str">
        <f>IF(Worksheet!E79&lt;&gt;"",Worksheet!U79,"")</f>
        <v/>
      </c>
      <c r="E82" s="17" t="str">
        <f>IF(AND(Worksheet!E79&lt;&gt;"",Worksheet!F79&lt;&gt;"",Worksheet!G79&lt;&gt;""),Worksheet!I79,"")</f>
        <v/>
      </c>
      <c r="F82" s="58" t="str">
        <f>IF(Worksheet!E79&lt;&gt;"",Uncertainties!L78,"")</f>
        <v/>
      </c>
      <c r="G82" s="96" t="str">
        <f>IF(Worksheet!J79&lt;&gt;"",Worksheet!J79,"")</f>
        <v/>
      </c>
      <c r="H82" s="97"/>
    </row>
    <row r="83" spans="2:11" x14ac:dyDescent="0.25">
      <c r="B83" s="65" t="str">
        <f>IF(Worksheet!B80&lt;&gt;"",Worksheet!B80,"")</f>
        <v/>
      </c>
      <c r="C83" s="14" t="str">
        <f>IF(Worksheet!D80&lt;&gt;"",Worksheet!D80,"")</f>
        <v/>
      </c>
      <c r="D83" s="29" t="str">
        <f>IF(Worksheet!E80&lt;&gt;"",Worksheet!U80,"")</f>
        <v/>
      </c>
      <c r="E83" s="17" t="str">
        <f>IF(AND(Worksheet!E80&lt;&gt;"",Worksheet!F80&lt;&gt;"",Worksheet!G80&lt;&gt;""),Worksheet!I80,"")</f>
        <v/>
      </c>
      <c r="F83" s="58" t="str">
        <f>IF(Worksheet!E80&lt;&gt;"",Uncertainties!L79,"")</f>
        <v/>
      </c>
      <c r="G83" s="96" t="str">
        <f>IF(Worksheet!J80&lt;&gt;"",Worksheet!J80,"")</f>
        <v/>
      </c>
      <c r="H83" s="97"/>
    </row>
    <row r="84" spans="2:11" x14ac:dyDescent="0.25">
      <c r="B84" s="65" t="str">
        <f>IF(Worksheet!B81&lt;&gt;"",Worksheet!B81,"")</f>
        <v/>
      </c>
      <c r="C84" s="14" t="str">
        <f>IF(Worksheet!D81&lt;&gt;"",Worksheet!D81,"")</f>
        <v/>
      </c>
      <c r="D84" s="29" t="str">
        <f>IF(Worksheet!E81&lt;&gt;"",Worksheet!U81,"")</f>
        <v/>
      </c>
      <c r="E84" s="17" t="str">
        <f>IF(AND(Worksheet!E81&lt;&gt;"",Worksheet!F81&lt;&gt;"",Worksheet!G81&lt;&gt;""),Worksheet!I81,"")</f>
        <v/>
      </c>
      <c r="F84" s="58" t="str">
        <f>IF(Worksheet!E81&lt;&gt;"",Uncertainties!L80,"")</f>
        <v/>
      </c>
      <c r="G84" s="96" t="str">
        <f>IF(Worksheet!J81&lt;&gt;"",Worksheet!J81,"")</f>
        <v/>
      </c>
      <c r="H84" s="97"/>
    </row>
    <row r="85" spans="2:11" x14ac:dyDescent="0.25">
      <c r="B85" s="65" t="str">
        <f>IF(Worksheet!B82&lt;&gt;"",Worksheet!B82,"")</f>
        <v/>
      </c>
      <c r="C85" s="14" t="str">
        <f>IF(Worksheet!D82&lt;&gt;"",Worksheet!D82,"")</f>
        <v/>
      </c>
      <c r="D85" s="29" t="str">
        <f>IF(Worksheet!E82&lt;&gt;"",Worksheet!U82,"")</f>
        <v/>
      </c>
      <c r="E85" s="17" t="str">
        <f>IF(AND(Worksheet!E82&lt;&gt;"",Worksheet!F82&lt;&gt;"",Worksheet!G82&lt;&gt;""),Worksheet!I82,"")</f>
        <v/>
      </c>
      <c r="F85" s="58" t="str">
        <f>IF(Worksheet!E82&lt;&gt;"",Uncertainties!L81,"")</f>
        <v/>
      </c>
      <c r="G85" s="96" t="str">
        <f>IF(Worksheet!J82&lt;&gt;"",Worksheet!J82,"")</f>
        <v/>
      </c>
      <c r="H85" s="97"/>
    </row>
    <row r="86" spans="2:11" x14ac:dyDescent="0.25">
      <c r="B86" s="65" t="str">
        <f>IF(Worksheet!B83&lt;&gt;"",Worksheet!B83,"")</f>
        <v/>
      </c>
      <c r="C86" s="14" t="str">
        <f>IF(Worksheet!D83&lt;&gt;"",Worksheet!D83,"")</f>
        <v/>
      </c>
      <c r="D86" s="29" t="str">
        <f>IF(Worksheet!E83&lt;&gt;"",Worksheet!U83,"")</f>
        <v/>
      </c>
      <c r="E86" s="17" t="str">
        <f>IF(AND(Worksheet!E83&lt;&gt;"",Worksheet!F83&lt;&gt;"",Worksheet!G83&lt;&gt;""),Worksheet!I83,"")</f>
        <v/>
      </c>
      <c r="F86" s="58" t="str">
        <f>IF(Worksheet!E83&lt;&gt;"",Uncertainties!L82,"")</f>
        <v/>
      </c>
      <c r="G86" s="96" t="str">
        <f>IF(Worksheet!J83&lt;&gt;"",Worksheet!J83,"")</f>
        <v/>
      </c>
      <c r="H86" s="97"/>
    </row>
    <row r="87" spans="2:11" x14ac:dyDescent="0.25">
      <c r="B87" s="65" t="str">
        <f>IF(Worksheet!B84&lt;&gt;"",Worksheet!B84,"")</f>
        <v/>
      </c>
      <c r="C87" s="14" t="str">
        <f>IF(Worksheet!D84&lt;&gt;"",Worksheet!D84,"")</f>
        <v/>
      </c>
      <c r="D87" s="29" t="str">
        <f>IF(Worksheet!E84&lt;&gt;"",Worksheet!U84,"")</f>
        <v/>
      </c>
      <c r="E87" s="17" t="str">
        <f>IF(AND(Worksheet!E84&lt;&gt;"",Worksheet!F84&lt;&gt;"",Worksheet!G84&lt;&gt;""),Worksheet!I84,"")</f>
        <v/>
      </c>
      <c r="F87" s="58" t="str">
        <f>IF(Worksheet!E84&lt;&gt;"",Uncertainties!L83,"")</f>
        <v/>
      </c>
      <c r="G87" s="96" t="str">
        <f>IF(Worksheet!J84&lt;&gt;"",Worksheet!J84,"")</f>
        <v/>
      </c>
      <c r="H87" s="97"/>
    </row>
    <row r="88" spans="2:11" x14ac:dyDescent="0.25">
      <c r="B88" s="65" t="str">
        <f>IF(Worksheet!B85&lt;&gt;"",Worksheet!B85,"")</f>
        <v/>
      </c>
      <c r="C88" s="14" t="str">
        <f>IF(Worksheet!D85&lt;&gt;"",Worksheet!D85,"")</f>
        <v/>
      </c>
      <c r="D88" s="29" t="str">
        <f>IF(Worksheet!E85&lt;&gt;"",Worksheet!U85,"")</f>
        <v/>
      </c>
      <c r="E88" s="17" t="str">
        <f>IF(AND(Worksheet!E85&lt;&gt;"",Worksheet!F85&lt;&gt;"",Worksheet!G85&lt;&gt;""),Worksheet!I85,"")</f>
        <v/>
      </c>
      <c r="F88" s="58" t="str">
        <f>IF(Worksheet!E85&lt;&gt;"",Uncertainties!L84,"")</f>
        <v/>
      </c>
      <c r="G88" s="96" t="str">
        <f>IF(Worksheet!J85&lt;&gt;"",Worksheet!J85,"")</f>
        <v/>
      </c>
      <c r="H88" s="97"/>
    </row>
    <row r="89" spans="2:11" x14ac:dyDescent="0.25">
      <c r="B89" s="65" t="str">
        <f>IF(Worksheet!B86&lt;&gt;"",Worksheet!B86,"")</f>
        <v/>
      </c>
      <c r="C89" s="14" t="str">
        <f>IF(Worksheet!D86&lt;&gt;"",Worksheet!D86,"")</f>
        <v/>
      </c>
      <c r="D89" s="29" t="str">
        <f>IF(Worksheet!E86&lt;&gt;"",Worksheet!U86,"")</f>
        <v/>
      </c>
      <c r="E89" s="17" t="str">
        <f>IF(AND(Worksheet!E86&lt;&gt;"",Worksheet!F86&lt;&gt;"",Worksheet!G86&lt;&gt;""),Worksheet!I86,"")</f>
        <v/>
      </c>
      <c r="F89" s="58" t="str">
        <f>IF(Worksheet!E86&lt;&gt;"",Uncertainties!L85,"")</f>
        <v/>
      </c>
      <c r="G89" s="96" t="str">
        <f>IF(Worksheet!J86&lt;&gt;"",Worksheet!J86,"")</f>
        <v/>
      </c>
      <c r="H89" s="97"/>
    </row>
    <row r="90" spans="2:11" x14ac:dyDescent="0.25">
      <c r="B90" s="65" t="str">
        <f>IF(Worksheet!B87&lt;&gt;"",Worksheet!B87,"")</f>
        <v/>
      </c>
      <c r="C90" s="14" t="str">
        <f>IF(Worksheet!D87&lt;&gt;"",Worksheet!D87,"")</f>
        <v/>
      </c>
      <c r="D90" s="29" t="str">
        <f>IF(Worksheet!E87&lt;&gt;"",Worksheet!U87,"")</f>
        <v/>
      </c>
      <c r="E90" s="17" t="str">
        <f>IF(AND(Worksheet!E87&lt;&gt;"",Worksheet!F87&lt;&gt;"",Worksheet!G87&lt;&gt;""),Worksheet!I87,"")</f>
        <v/>
      </c>
      <c r="F90" s="58" t="str">
        <f>IF(Worksheet!E87&lt;&gt;"",Uncertainties!L86,"")</f>
        <v/>
      </c>
      <c r="G90" s="96" t="str">
        <f>IF(Worksheet!J87&lt;&gt;"",Worksheet!J87,"")</f>
        <v/>
      </c>
      <c r="H90" s="97"/>
    </row>
    <row r="91" spans="2:11" x14ac:dyDescent="0.25">
      <c r="B91" s="65" t="str">
        <f>IF(Worksheet!B88&lt;&gt;"",Worksheet!B88,"")</f>
        <v/>
      </c>
      <c r="C91" s="14" t="str">
        <f>IF(Worksheet!D88&lt;&gt;"",Worksheet!D88,"")</f>
        <v/>
      </c>
      <c r="D91" s="29" t="str">
        <f>IF(Worksheet!E88&lt;&gt;"",Worksheet!U88,"")</f>
        <v/>
      </c>
      <c r="E91" s="17" t="str">
        <f>IF(AND(Worksheet!E88&lt;&gt;"",Worksheet!F88&lt;&gt;"",Worksheet!G88&lt;&gt;""),Worksheet!I88,"")</f>
        <v/>
      </c>
      <c r="F91" s="58" t="str">
        <f>IF(Worksheet!E88&lt;&gt;"",Uncertainties!L87,"")</f>
        <v/>
      </c>
      <c r="G91" s="96" t="str">
        <f>IF(Worksheet!J88&lt;&gt;"",Worksheet!J88,"")</f>
        <v/>
      </c>
      <c r="H91" s="97"/>
    </row>
    <row r="92" spans="2:11" x14ac:dyDescent="0.25">
      <c r="B92" s="65" t="str">
        <f>IF(Worksheet!B89&lt;&gt;"",Worksheet!B89,"")</f>
        <v/>
      </c>
      <c r="C92" s="14" t="str">
        <f>IF(Worksheet!D89&lt;&gt;"",Worksheet!D89,"")</f>
        <v xml:space="preserve"> </v>
      </c>
      <c r="D92" s="29" t="str">
        <f>IF(Worksheet!E89&lt;&gt;"",Worksheet!U89,"")</f>
        <v/>
      </c>
      <c r="E92" s="17" t="str">
        <f>IF(AND(Worksheet!E89&lt;&gt;"",Worksheet!F89&lt;&gt;"",Worksheet!G89&lt;&gt;""),Worksheet!I89,"")</f>
        <v/>
      </c>
      <c r="F92" s="58" t="str">
        <f>IF(Worksheet!E89&lt;&gt;"",Uncertainties!L88,"")</f>
        <v/>
      </c>
      <c r="G92" s="96" t="str">
        <f>IF(Worksheet!J89&lt;&gt;"",Worksheet!J89,"")</f>
        <v/>
      </c>
      <c r="H92" s="97"/>
    </row>
    <row r="93" spans="2:11" x14ac:dyDescent="0.25">
      <c r="B93" s="66" t="str">
        <f>IF(Worksheet!B90&lt;&gt;"",Worksheet!B90,"")</f>
        <v/>
      </c>
      <c r="C93" s="14" t="str">
        <f>IF(Worksheet!D90&lt;&gt;"",Worksheet!D90,"")</f>
        <v/>
      </c>
      <c r="D93" s="29" t="str">
        <f>IF(Worksheet!E90&lt;&gt;"",Worksheet!U90,"")</f>
        <v/>
      </c>
      <c r="E93" s="17" t="str">
        <f>IF(AND(Worksheet!E90&lt;&gt;"",Worksheet!F90&lt;&gt;"",Worksheet!G90&lt;&gt;""),Worksheet!I90,"")</f>
        <v/>
      </c>
      <c r="F93" s="58" t="str">
        <f>IF(Worksheet!E90&lt;&gt;"",Uncertainties!L89,"")</f>
        <v/>
      </c>
      <c r="G93" s="96" t="str">
        <f>IF(Worksheet!J90&lt;&gt;"",Worksheet!J90,"")</f>
        <v/>
      </c>
      <c r="H93" s="97"/>
    </row>
    <row r="94" spans="2:11" x14ac:dyDescent="0.25">
      <c r="B94" s="67"/>
      <c r="C94" s="9"/>
      <c r="D94" s="9"/>
      <c r="E94" s="9"/>
      <c r="F94" s="9"/>
      <c r="G94" s="9"/>
      <c r="H94" s="9"/>
    </row>
    <row r="95" spans="2:11" x14ac:dyDescent="0.25">
      <c r="C95" s="100" t="s">
        <v>38</v>
      </c>
      <c r="D95" s="100"/>
      <c r="E95" s="100"/>
      <c r="F95" s="100"/>
      <c r="G95" s="100"/>
      <c r="H95" t="s">
        <v>28</v>
      </c>
      <c r="I95" s="6">
        <v>4</v>
      </c>
      <c r="J95" s="10" t="s">
        <v>30</v>
      </c>
      <c r="K95" s="10">
        <v>4</v>
      </c>
    </row>
    <row r="96" spans="2:11" ht="18" x14ac:dyDescent="0.25">
      <c r="B96" s="98" t="s">
        <v>31</v>
      </c>
      <c r="C96" s="98"/>
      <c r="D96" s="98"/>
      <c r="E96" s="98"/>
      <c r="F96" s="98"/>
      <c r="G96" s="98"/>
      <c r="H96" s="98"/>
      <c r="I96" s="6"/>
    </row>
    <row r="97" spans="2:9" ht="15.75" x14ac:dyDescent="0.25">
      <c r="B97" s="2" t="s">
        <v>32</v>
      </c>
      <c r="C97" s="80" t="str">
        <f>IF(Worksheet!$E$2&lt;&gt;"",Worksheet!$E$2,"")</f>
        <v xml:space="preserve"> </v>
      </c>
      <c r="D97" s="2" t="s">
        <v>33</v>
      </c>
      <c r="E97" s="77" t="str">
        <f>IF(Worksheet!$H$2&lt;&gt;"",Worksheet!$H$2,"")</f>
        <v xml:space="preserve"> </v>
      </c>
      <c r="F97" s="2" t="s">
        <v>0</v>
      </c>
      <c r="G97" s="99" t="str">
        <f>IF(Worksheet!$E$1&lt;&gt;"",Worksheet!$E$1,"")</f>
        <v xml:space="preserve"> </v>
      </c>
      <c r="H97" s="99"/>
      <c r="I97" s="6"/>
    </row>
    <row r="98" spans="2:9" x14ac:dyDescent="0.25">
      <c r="B98" s="53"/>
      <c r="C98" s="7"/>
      <c r="D98" s="8"/>
      <c r="E98" s="18"/>
      <c r="F98" s="5"/>
      <c r="G98" s="5"/>
      <c r="I98" s="6"/>
    </row>
    <row r="99" spans="2:9" ht="26.25" x14ac:dyDescent="0.25">
      <c r="B99" s="59" t="s">
        <v>34</v>
      </c>
      <c r="C99" s="4" t="s">
        <v>24</v>
      </c>
      <c r="D99" s="4" t="s">
        <v>35</v>
      </c>
      <c r="E99" s="4" t="s">
        <v>36</v>
      </c>
      <c r="F99" s="4" t="s">
        <v>37</v>
      </c>
      <c r="G99" s="101" t="s">
        <v>16</v>
      </c>
      <c r="H99" s="101"/>
    </row>
    <row r="100" spans="2:9" x14ac:dyDescent="0.25">
      <c r="B100" s="64" t="str">
        <f>IF(Worksheet!B94&lt;&gt;"",Worksheet!B94,"")</f>
        <v/>
      </c>
      <c r="C100" s="14" t="str">
        <f>IF(Worksheet!D94&lt;&gt;"",Worksheet!D94,"")</f>
        <v/>
      </c>
      <c r="D100" s="29" t="str">
        <f>IF(Worksheet!E94&lt;&gt;"",Worksheet!U94,"")</f>
        <v/>
      </c>
      <c r="E100" s="17" t="str">
        <f>IF(AND(Worksheet!E94&lt;&gt;"",Worksheet!F94&lt;&gt;"",Worksheet!G94&lt;&gt;""),Worksheet!I94,"")</f>
        <v/>
      </c>
      <c r="F100" s="58" t="str">
        <f>IF(Worksheet!E94&lt;&gt;"",Uncertainties!L93,"")</f>
        <v/>
      </c>
      <c r="G100" s="96" t="str">
        <f>IF(Worksheet!J94&lt;&gt;"",Worksheet!J94,"")</f>
        <v/>
      </c>
      <c r="H100" s="97"/>
    </row>
    <row r="101" spans="2:9" x14ac:dyDescent="0.25">
      <c r="B101" s="65" t="str">
        <f>IF(Worksheet!B95&lt;&gt;"",Worksheet!B95,"")</f>
        <v/>
      </c>
      <c r="C101" s="14" t="str">
        <f>IF(Worksheet!D95&lt;&gt;"",Worksheet!D95,"")</f>
        <v/>
      </c>
      <c r="D101" s="29" t="str">
        <f>IF(Worksheet!E95&lt;&gt;"",Worksheet!U95,"")</f>
        <v/>
      </c>
      <c r="E101" s="17" t="str">
        <f>IF(AND(Worksheet!E95&lt;&gt;"",Worksheet!F95&lt;&gt;"",Worksheet!G95&lt;&gt;""),Worksheet!I95,"")</f>
        <v/>
      </c>
      <c r="F101" s="58" t="str">
        <f>IF(Worksheet!E95&lt;&gt;"",Uncertainties!L94,"")</f>
        <v/>
      </c>
      <c r="G101" s="96" t="str">
        <f>IF(Worksheet!J95&lt;&gt;"",Worksheet!J95,"")</f>
        <v/>
      </c>
      <c r="H101" s="97"/>
    </row>
    <row r="102" spans="2:9" x14ac:dyDescent="0.25">
      <c r="B102" s="65" t="str">
        <f>IF(Worksheet!B96&lt;&gt;"",Worksheet!B96,"")</f>
        <v/>
      </c>
      <c r="C102" s="14" t="str">
        <f>IF(Worksheet!D96&lt;&gt;"",Worksheet!D96,"")</f>
        <v/>
      </c>
      <c r="D102" s="29" t="str">
        <f>IF(Worksheet!E96&lt;&gt;"",Worksheet!U96,"")</f>
        <v/>
      </c>
      <c r="E102" s="17" t="str">
        <f>IF(AND(Worksheet!E96&lt;&gt;"",Worksheet!F96&lt;&gt;"",Worksheet!G96&lt;&gt;""),Worksheet!I96,"")</f>
        <v/>
      </c>
      <c r="F102" s="58" t="str">
        <f>IF(Worksheet!E96&lt;&gt;"",Uncertainties!L95,"")</f>
        <v/>
      </c>
      <c r="G102" s="96" t="str">
        <f>IF(Worksheet!J96&lt;&gt;"",Worksheet!J96,"")</f>
        <v/>
      </c>
      <c r="H102" s="97"/>
    </row>
    <row r="103" spans="2:9" x14ac:dyDescent="0.25">
      <c r="B103" s="65" t="str">
        <f>IF(Worksheet!B97&lt;&gt;"",Worksheet!B97,"")</f>
        <v/>
      </c>
      <c r="C103" s="14" t="str">
        <f>IF(Worksheet!D97&lt;&gt;"",Worksheet!D97,"")</f>
        <v/>
      </c>
      <c r="D103" s="29" t="str">
        <f>IF(Worksheet!E97&lt;&gt;"",Worksheet!U97,"")</f>
        <v/>
      </c>
      <c r="E103" s="17" t="str">
        <f>IF(AND(Worksheet!E97&lt;&gt;"",Worksheet!F97&lt;&gt;"",Worksheet!G97&lt;&gt;""),Worksheet!I97,"")</f>
        <v/>
      </c>
      <c r="F103" s="58" t="str">
        <f>IF(Worksheet!E97&lt;&gt;"",Uncertainties!L96,"")</f>
        <v/>
      </c>
      <c r="G103" s="96" t="str">
        <f>IF(Worksheet!J97&lt;&gt;"",Worksheet!J97,"")</f>
        <v/>
      </c>
      <c r="H103" s="97"/>
    </row>
    <row r="104" spans="2:9" x14ac:dyDescent="0.25">
      <c r="B104" s="65" t="str">
        <f>IF(Worksheet!B98&lt;&gt;"",Worksheet!B98,"")</f>
        <v/>
      </c>
      <c r="C104" s="14" t="str">
        <f>IF(Worksheet!D98&lt;&gt;"",Worksheet!D98,"")</f>
        <v/>
      </c>
      <c r="D104" s="29" t="str">
        <f>IF(Worksheet!E98&lt;&gt;"",Worksheet!U98,"")</f>
        <v/>
      </c>
      <c r="E104" s="17" t="str">
        <f>IF(AND(Worksheet!E98&lt;&gt;"",Worksheet!F98&lt;&gt;"",Worksheet!G98&lt;&gt;""),Worksheet!I98,"")</f>
        <v/>
      </c>
      <c r="F104" s="58" t="str">
        <f>IF(Worksheet!E98&lt;&gt;"",Uncertainties!L97,"")</f>
        <v/>
      </c>
      <c r="G104" s="96" t="str">
        <f>IF(Worksheet!J98&lt;&gt;"",Worksheet!J98,"")</f>
        <v/>
      </c>
      <c r="H104" s="97"/>
    </row>
    <row r="105" spans="2:9" x14ac:dyDescent="0.25">
      <c r="B105" s="65" t="str">
        <f>IF(Worksheet!B99&lt;&gt;"",Worksheet!B99,"")</f>
        <v/>
      </c>
      <c r="C105" s="14" t="str">
        <f>IF(Worksheet!D99&lt;&gt;"",Worksheet!D99,"")</f>
        <v/>
      </c>
      <c r="D105" s="29" t="str">
        <f>IF(Worksheet!E99&lt;&gt;"",Worksheet!U99,"")</f>
        <v/>
      </c>
      <c r="E105" s="17" t="str">
        <f>IF(AND(Worksheet!E99&lt;&gt;"",Worksheet!F99&lt;&gt;"",Worksheet!G99&lt;&gt;""),Worksheet!I99,"")</f>
        <v/>
      </c>
      <c r="F105" s="58" t="str">
        <f>IF(Worksheet!E99&lt;&gt;"",Uncertainties!L98,"")</f>
        <v/>
      </c>
      <c r="G105" s="96" t="str">
        <f>IF(Worksheet!J99&lt;&gt;"",Worksheet!J99,"")</f>
        <v/>
      </c>
      <c r="H105" s="97"/>
    </row>
    <row r="106" spans="2:9" x14ac:dyDescent="0.25">
      <c r="B106" s="65" t="str">
        <f>IF(Worksheet!B100&lt;&gt;"",Worksheet!B100,"")</f>
        <v/>
      </c>
      <c r="C106" s="14" t="str">
        <f>IF(Worksheet!D100&lt;&gt;"",Worksheet!D100,"")</f>
        <v/>
      </c>
      <c r="D106" s="29" t="str">
        <f>IF(Worksheet!E100&lt;&gt;"",Worksheet!U100,"")</f>
        <v/>
      </c>
      <c r="E106" s="17" t="str">
        <f>IF(AND(Worksheet!E100&lt;&gt;"",Worksheet!F100&lt;&gt;"",Worksheet!G100&lt;&gt;""),Worksheet!I100,"")</f>
        <v/>
      </c>
      <c r="F106" s="58" t="str">
        <f>IF(Worksheet!E100&lt;&gt;"",Uncertainties!L99,"")</f>
        <v/>
      </c>
      <c r="G106" s="96" t="str">
        <f>IF(Worksheet!J100&lt;&gt;"",Worksheet!J100,"")</f>
        <v/>
      </c>
      <c r="H106" s="97"/>
    </row>
    <row r="107" spans="2:9" x14ac:dyDescent="0.25">
      <c r="B107" s="65" t="str">
        <f>IF(Worksheet!B101&lt;&gt;"",Worksheet!B101,"")</f>
        <v/>
      </c>
      <c r="C107" s="14" t="str">
        <f>IF(Worksheet!D101&lt;&gt;"",Worksheet!D101,"")</f>
        <v/>
      </c>
      <c r="D107" s="29" t="str">
        <f>IF(Worksheet!E101&lt;&gt;"",Worksheet!U101,"")</f>
        <v/>
      </c>
      <c r="E107" s="17" t="str">
        <f>IF(AND(Worksheet!E101&lt;&gt;"",Worksheet!F101&lt;&gt;"",Worksheet!G101&lt;&gt;""),Worksheet!I101,"")</f>
        <v/>
      </c>
      <c r="F107" s="58" t="str">
        <f>IF(Worksheet!E101&lt;&gt;"",Uncertainties!L100,"")</f>
        <v/>
      </c>
      <c r="G107" s="96" t="str">
        <f>IF(Worksheet!J101&lt;&gt;"",Worksheet!J101,"")</f>
        <v/>
      </c>
      <c r="H107" s="97"/>
    </row>
    <row r="108" spans="2:9" x14ac:dyDescent="0.25">
      <c r="B108" s="65" t="str">
        <f>IF(Worksheet!B102&lt;&gt;"",Worksheet!B102,"")</f>
        <v/>
      </c>
      <c r="C108" s="14" t="str">
        <f>IF(Worksheet!D102&lt;&gt;"",Worksheet!D102,"")</f>
        <v/>
      </c>
      <c r="D108" s="29" t="str">
        <f>IF(Worksheet!E102&lt;&gt;"",Worksheet!U102,"")</f>
        <v/>
      </c>
      <c r="E108" s="17" t="str">
        <f>IF(AND(Worksheet!E102&lt;&gt;"",Worksheet!F102&lt;&gt;"",Worksheet!G102&lt;&gt;""),Worksheet!I102,"")</f>
        <v/>
      </c>
      <c r="F108" s="58" t="str">
        <f>IF(Worksheet!E102&lt;&gt;"",Uncertainties!L101,"")</f>
        <v/>
      </c>
      <c r="G108" s="96" t="str">
        <f>IF(Worksheet!J102&lt;&gt;"",Worksheet!J102,"")</f>
        <v/>
      </c>
      <c r="H108" s="97"/>
    </row>
    <row r="109" spans="2:9" x14ac:dyDescent="0.25">
      <c r="B109" s="65" t="str">
        <f>IF(Worksheet!B103&lt;&gt;"",Worksheet!B103,"")</f>
        <v/>
      </c>
      <c r="C109" s="14" t="str">
        <f>IF(Worksheet!D103&lt;&gt;"",Worksheet!D103,"")</f>
        <v/>
      </c>
      <c r="D109" s="29" t="str">
        <f>IF(Worksheet!E103&lt;&gt;"",Worksheet!U103,"")</f>
        <v/>
      </c>
      <c r="E109" s="17" t="str">
        <f>IF(AND(Worksheet!E103&lt;&gt;"",Worksheet!F103&lt;&gt;"",Worksheet!G103&lt;&gt;""),Worksheet!I103,"")</f>
        <v/>
      </c>
      <c r="F109" s="58" t="str">
        <f>IF(Worksheet!E103&lt;&gt;"",Uncertainties!L102,"")</f>
        <v/>
      </c>
      <c r="G109" s="96" t="str">
        <f>IF(Worksheet!J103&lt;&gt;"",Worksheet!J103,"")</f>
        <v/>
      </c>
      <c r="H109" s="97"/>
    </row>
    <row r="110" spans="2:9" x14ac:dyDescent="0.25">
      <c r="B110" s="65" t="str">
        <f>IF(Worksheet!B104&lt;&gt;"",Worksheet!B104,"")</f>
        <v/>
      </c>
      <c r="C110" s="14" t="str">
        <f>IF(Worksheet!D104&lt;&gt;"",Worksheet!D104,"")</f>
        <v/>
      </c>
      <c r="D110" s="29" t="str">
        <f>IF(Worksheet!E104&lt;&gt;"",Worksheet!U104,"")</f>
        <v/>
      </c>
      <c r="E110" s="17" t="str">
        <f>IF(AND(Worksheet!E104&lt;&gt;"",Worksheet!F104&lt;&gt;"",Worksheet!G104&lt;&gt;""),Worksheet!I104,"")</f>
        <v/>
      </c>
      <c r="F110" s="58" t="str">
        <f>IF(Worksheet!E104&lt;&gt;"",Uncertainties!L103,"")</f>
        <v/>
      </c>
      <c r="G110" s="96" t="str">
        <f>IF(Worksheet!J104&lt;&gt;"",Worksheet!J104,"")</f>
        <v/>
      </c>
      <c r="H110" s="97"/>
    </row>
    <row r="111" spans="2:9" x14ac:dyDescent="0.25">
      <c r="B111" s="65" t="str">
        <f>IF(Worksheet!B105&lt;&gt;"",Worksheet!B105,"")</f>
        <v/>
      </c>
      <c r="C111" s="14" t="str">
        <f>IF(Worksheet!D105&lt;&gt;"",Worksheet!D105,"")</f>
        <v/>
      </c>
      <c r="D111" s="29" t="str">
        <f>IF(Worksheet!E105&lt;&gt;"",Worksheet!U105,"")</f>
        <v/>
      </c>
      <c r="E111" s="17" t="str">
        <f>IF(AND(Worksheet!E105&lt;&gt;"",Worksheet!F105&lt;&gt;"",Worksheet!G105&lt;&gt;""),Worksheet!I105,"")</f>
        <v/>
      </c>
      <c r="F111" s="58" t="str">
        <f>IF(Worksheet!E105&lt;&gt;"",Uncertainties!L104,"")</f>
        <v/>
      </c>
      <c r="G111" s="96" t="str">
        <f>IF(Worksheet!J105&lt;&gt;"",Worksheet!J105,"")</f>
        <v/>
      </c>
      <c r="H111" s="97"/>
    </row>
    <row r="112" spans="2:9" x14ac:dyDescent="0.25">
      <c r="B112" s="65" t="str">
        <f>IF(Worksheet!B106&lt;&gt;"",Worksheet!B106,"")</f>
        <v/>
      </c>
      <c r="C112" s="14" t="str">
        <f>IF(Worksheet!D106&lt;&gt;"",Worksheet!D106,"")</f>
        <v/>
      </c>
      <c r="D112" s="29" t="str">
        <f>IF(Worksheet!E106&lt;&gt;"",Worksheet!U106,"")</f>
        <v/>
      </c>
      <c r="E112" s="17" t="str">
        <f>IF(AND(Worksheet!E106&lt;&gt;"",Worksheet!F106&lt;&gt;"",Worksheet!G106&lt;&gt;""),Worksheet!I106,"")</f>
        <v/>
      </c>
      <c r="F112" s="58" t="str">
        <f>IF(Worksheet!E106&lt;&gt;"",Uncertainties!L105,"")</f>
        <v/>
      </c>
      <c r="G112" s="96" t="str">
        <f>IF(Worksheet!J106&lt;&gt;"",Worksheet!J106,"")</f>
        <v/>
      </c>
      <c r="H112" s="97"/>
    </row>
    <row r="113" spans="2:8" x14ac:dyDescent="0.25">
      <c r="B113" s="65" t="str">
        <f>IF(Worksheet!B107&lt;&gt;"",Worksheet!B107,"")</f>
        <v/>
      </c>
      <c r="C113" s="14" t="str">
        <f>IF(Worksheet!D107&lt;&gt;"",Worksheet!D107,"")</f>
        <v/>
      </c>
      <c r="D113" s="29" t="str">
        <f>IF(Worksheet!E107&lt;&gt;"",Worksheet!U107,"")</f>
        <v/>
      </c>
      <c r="E113" s="17" t="str">
        <f>IF(AND(Worksheet!E107&lt;&gt;"",Worksheet!F107&lt;&gt;"",Worksheet!G107&lt;&gt;""),Worksheet!I107,"")</f>
        <v/>
      </c>
      <c r="F113" s="58" t="str">
        <f>IF(Worksheet!E107&lt;&gt;"",Uncertainties!L106,"")</f>
        <v/>
      </c>
      <c r="G113" s="96" t="str">
        <f>IF(Worksheet!J107&lt;&gt;"",Worksheet!J107,"")</f>
        <v/>
      </c>
      <c r="H113" s="97"/>
    </row>
    <row r="114" spans="2:8" x14ac:dyDescent="0.25">
      <c r="B114" s="65" t="str">
        <f>IF(Worksheet!B108&lt;&gt;"",Worksheet!B108,"")</f>
        <v/>
      </c>
      <c r="C114" s="14" t="str">
        <f>IF(Worksheet!D108&lt;&gt;"",Worksheet!D108,"")</f>
        <v/>
      </c>
      <c r="D114" s="29" t="str">
        <f>IF(Worksheet!E108&lt;&gt;"",Worksheet!U108,"")</f>
        <v/>
      </c>
      <c r="E114" s="17" t="str">
        <f>IF(AND(Worksheet!E108&lt;&gt;"",Worksheet!F108&lt;&gt;"",Worksheet!G108&lt;&gt;""),Worksheet!I108,"")</f>
        <v/>
      </c>
      <c r="F114" s="58" t="str">
        <f>IF(Worksheet!E108&lt;&gt;"",Uncertainties!L107,"")</f>
        <v/>
      </c>
      <c r="G114" s="96" t="str">
        <f>IF(Worksheet!J108&lt;&gt;"",Worksheet!J108,"")</f>
        <v/>
      </c>
      <c r="H114" s="97"/>
    </row>
    <row r="115" spans="2:8" x14ac:dyDescent="0.25">
      <c r="B115" s="65" t="str">
        <f>IF(Worksheet!B109&lt;&gt;"",Worksheet!B109,"")</f>
        <v/>
      </c>
      <c r="C115" s="14" t="str">
        <f>IF(Worksheet!D109&lt;&gt;"",Worksheet!D109,"")</f>
        <v/>
      </c>
      <c r="D115" s="29" t="str">
        <f>IF(Worksheet!E109&lt;&gt;"",Worksheet!U109,"")</f>
        <v/>
      </c>
      <c r="E115" s="17" t="str">
        <f>IF(AND(Worksheet!E109&lt;&gt;"",Worksheet!F109&lt;&gt;"",Worksheet!G109&lt;&gt;""),Worksheet!I109,"")</f>
        <v/>
      </c>
      <c r="F115" s="58" t="str">
        <f>IF(Worksheet!E109&lt;&gt;"",Uncertainties!L108,"")</f>
        <v/>
      </c>
      <c r="G115" s="96" t="str">
        <f>IF(Worksheet!J109&lt;&gt;"",Worksheet!J109,"")</f>
        <v/>
      </c>
      <c r="H115" s="97"/>
    </row>
    <row r="116" spans="2:8" x14ac:dyDescent="0.25">
      <c r="B116" s="65" t="str">
        <f>IF(Worksheet!B110&lt;&gt;"",Worksheet!B110,"")</f>
        <v/>
      </c>
      <c r="C116" s="14" t="str">
        <f>IF(Worksheet!D110&lt;&gt;"",Worksheet!D110,"")</f>
        <v/>
      </c>
      <c r="D116" s="29" t="str">
        <f>IF(Worksheet!E110&lt;&gt;"",Worksheet!U110,"")</f>
        <v/>
      </c>
      <c r="E116" s="17" t="str">
        <f>IF(AND(Worksheet!E110&lt;&gt;"",Worksheet!F110&lt;&gt;"",Worksheet!G110&lt;&gt;""),Worksheet!I110,"")</f>
        <v/>
      </c>
      <c r="F116" s="58" t="str">
        <f>IF(Worksheet!E110&lt;&gt;"",Uncertainties!L109,"")</f>
        <v/>
      </c>
      <c r="G116" s="96" t="str">
        <f>IF(Worksheet!J110&lt;&gt;"",Worksheet!J110,"")</f>
        <v/>
      </c>
      <c r="H116" s="97"/>
    </row>
    <row r="117" spans="2:8" x14ac:dyDescent="0.25">
      <c r="B117" s="65" t="str">
        <f>IF(Worksheet!B111&lt;&gt;"",Worksheet!B111,"")</f>
        <v/>
      </c>
      <c r="C117" s="14" t="str">
        <f>IF(Worksheet!D111&lt;&gt;"",Worksheet!D111,"")</f>
        <v/>
      </c>
      <c r="D117" s="29" t="str">
        <f>IF(Worksheet!E111&lt;&gt;"",Worksheet!U111,"")</f>
        <v/>
      </c>
      <c r="E117" s="17" t="str">
        <f>IF(AND(Worksheet!E111&lt;&gt;"",Worksheet!F111&lt;&gt;"",Worksheet!G111&lt;&gt;""),Worksheet!I111,"")</f>
        <v/>
      </c>
      <c r="F117" s="58" t="str">
        <f>IF(Worksheet!E111&lt;&gt;"",Uncertainties!L110,"")</f>
        <v/>
      </c>
      <c r="G117" s="96" t="str">
        <f>IF(Worksheet!J111&lt;&gt;"",Worksheet!J111,"")</f>
        <v/>
      </c>
      <c r="H117" s="97"/>
    </row>
    <row r="118" spans="2:8" x14ac:dyDescent="0.25">
      <c r="B118" s="65" t="str">
        <f>IF(Worksheet!B112&lt;&gt;"",Worksheet!B112,"")</f>
        <v/>
      </c>
      <c r="C118" s="14" t="str">
        <f>IF(Worksheet!D112&lt;&gt;"",Worksheet!D112,"")</f>
        <v/>
      </c>
      <c r="D118" s="29" t="str">
        <f>IF(Worksheet!E112&lt;&gt;"",Worksheet!U112,"")</f>
        <v/>
      </c>
      <c r="E118" s="17" t="str">
        <f>IF(AND(Worksheet!E112&lt;&gt;"",Worksheet!F112&lt;&gt;"",Worksheet!G112&lt;&gt;""),Worksheet!I112,"")</f>
        <v/>
      </c>
      <c r="F118" s="58" t="str">
        <f>IF(Worksheet!E112&lt;&gt;"",Uncertainties!L111,"")</f>
        <v/>
      </c>
      <c r="G118" s="96" t="str">
        <f>IF(Worksheet!J112&lt;&gt;"",Worksheet!J112,"")</f>
        <v/>
      </c>
      <c r="H118" s="97"/>
    </row>
    <row r="119" spans="2:8" x14ac:dyDescent="0.25">
      <c r="B119" s="65" t="str">
        <f>IF(Worksheet!B113&lt;&gt;"",Worksheet!B113,"")</f>
        <v/>
      </c>
      <c r="C119" s="14" t="str">
        <f>IF(Worksheet!D113&lt;&gt;"",Worksheet!D113,"")</f>
        <v/>
      </c>
      <c r="D119" s="29" t="str">
        <f>IF(Worksheet!E113&lt;&gt;"",Worksheet!U113,"")</f>
        <v/>
      </c>
      <c r="E119" s="17" t="str">
        <f>IF(AND(Worksheet!E113&lt;&gt;"",Worksheet!F113&lt;&gt;"",Worksheet!G113&lt;&gt;""),Worksheet!I113,"")</f>
        <v/>
      </c>
      <c r="F119" s="58" t="str">
        <f>IF(Worksheet!E113&lt;&gt;"",Uncertainties!L112,"")</f>
        <v/>
      </c>
      <c r="G119" s="96" t="str">
        <f>IF(Worksheet!J113&lt;&gt;"",Worksheet!J113,"")</f>
        <v/>
      </c>
      <c r="H119" s="97"/>
    </row>
    <row r="120" spans="2:8" x14ac:dyDescent="0.25">
      <c r="B120" s="65" t="str">
        <f>IF(Worksheet!B114&lt;&gt;"",Worksheet!B114,"")</f>
        <v/>
      </c>
      <c r="C120" s="14" t="str">
        <f>IF(Worksheet!D114&lt;&gt;"",Worksheet!D114,"")</f>
        <v/>
      </c>
      <c r="D120" s="29" t="str">
        <f>IF(Worksheet!E114&lt;&gt;"",Worksheet!U114,"")</f>
        <v/>
      </c>
      <c r="E120" s="17" t="str">
        <f>IF(AND(Worksheet!E114&lt;&gt;"",Worksheet!F114&lt;&gt;"",Worksheet!G114&lt;&gt;""),Worksheet!I114,"")</f>
        <v/>
      </c>
      <c r="F120" s="58" t="str">
        <f>IF(Worksheet!E114&lt;&gt;"",Uncertainties!L113,"")</f>
        <v/>
      </c>
      <c r="G120" s="96" t="str">
        <f>IF(Worksheet!J114&lt;&gt;"",Worksheet!J114,"")</f>
        <v/>
      </c>
      <c r="H120" s="97"/>
    </row>
    <row r="121" spans="2:8" x14ac:dyDescent="0.25">
      <c r="B121" s="65" t="str">
        <f>IF(Worksheet!B115&lt;&gt;"",Worksheet!B115,"")</f>
        <v/>
      </c>
      <c r="C121" s="14" t="str">
        <f>IF(Worksheet!D115&lt;&gt;"",Worksheet!D115,"")</f>
        <v/>
      </c>
      <c r="D121" s="29" t="str">
        <f>IF(Worksheet!E115&lt;&gt;"",Worksheet!U115,"")</f>
        <v/>
      </c>
      <c r="E121" s="17" t="str">
        <f>IF(AND(Worksheet!E115&lt;&gt;"",Worksheet!F115&lt;&gt;"",Worksheet!G115&lt;&gt;""),Worksheet!I115,"")</f>
        <v/>
      </c>
      <c r="F121" s="58" t="str">
        <f>IF(Worksheet!E115&lt;&gt;"",Uncertainties!L114,"")</f>
        <v/>
      </c>
      <c r="G121" s="96" t="str">
        <f>IF(Worksheet!J115&lt;&gt;"",Worksheet!J115,"")</f>
        <v/>
      </c>
      <c r="H121" s="97"/>
    </row>
    <row r="122" spans="2:8" x14ac:dyDescent="0.25">
      <c r="B122" s="65" t="str">
        <f>IF(Worksheet!B116&lt;&gt;"",Worksheet!B116,"")</f>
        <v/>
      </c>
      <c r="C122" s="14" t="str">
        <f>IF(Worksheet!D116&lt;&gt;"",Worksheet!D116,"")</f>
        <v/>
      </c>
      <c r="D122" s="29" t="str">
        <f>IF(Worksheet!E116&lt;&gt;"",Worksheet!U116,"")</f>
        <v/>
      </c>
      <c r="E122" s="17" t="str">
        <f>IF(AND(Worksheet!E116&lt;&gt;"",Worksheet!F116&lt;&gt;"",Worksheet!G116&lt;&gt;""),Worksheet!I116,"")</f>
        <v/>
      </c>
      <c r="F122" s="58" t="str">
        <f>IF(Worksheet!E116&lt;&gt;"",Uncertainties!L115,"")</f>
        <v/>
      </c>
      <c r="G122" s="96" t="str">
        <f>IF(Worksheet!J116&lt;&gt;"",Worksheet!J116,"")</f>
        <v/>
      </c>
      <c r="H122" s="97"/>
    </row>
    <row r="123" spans="2:8" x14ac:dyDescent="0.25">
      <c r="B123" s="65" t="str">
        <f>IF(Worksheet!B117&lt;&gt;"",Worksheet!B117,"")</f>
        <v/>
      </c>
      <c r="C123" s="14" t="str">
        <f>IF(Worksheet!D117&lt;&gt;"",Worksheet!D117,"")</f>
        <v/>
      </c>
      <c r="D123" s="29" t="str">
        <f>IF(Worksheet!E117&lt;&gt;"",Worksheet!U117,"")</f>
        <v/>
      </c>
      <c r="E123" s="17" t="str">
        <f>IF(AND(Worksheet!E117&lt;&gt;"",Worksheet!F117&lt;&gt;"",Worksheet!G117&lt;&gt;""),Worksheet!I117,"")</f>
        <v/>
      </c>
      <c r="F123" s="58" t="str">
        <f>IF(Worksheet!E117&lt;&gt;"",Uncertainties!L116,"")</f>
        <v/>
      </c>
      <c r="G123" s="96" t="str">
        <f>IF(Worksheet!J117&lt;&gt;"",Worksheet!J117,"")</f>
        <v/>
      </c>
      <c r="H123" s="97"/>
    </row>
    <row r="124" spans="2:8" x14ac:dyDescent="0.25">
      <c r="B124" s="65" t="str">
        <f>IF(Worksheet!B118&lt;&gt;"",Worksheet!B118,"")</f>
        <v/>
      </c>
      <c r="C124" s="14" t="str">
        <f>IF(Worksheet!D118&lt;&gt;"",Worksheet!D118,"")</f>
        <v/>
      </c>
      <c r="D124" s="29" t="str">
        <f>IF(Worksheet!E118&lt;&gt;"",Worksheet!U118,"")</f>
        <v/>
      </c>
      <c r="E124" s="17" t="str">
        <f>IF(AND(Worksheet!E118&lt;&gt;"",Worksheet!F118&lt;&gt;"",Worksheet!G118&lt;&gt;""),Worksheet!I118,"")</f>
        <v/>
      </c>
      <c r="F124" s="58" t="str">
        <f>IF(Worksheet!E118&lt;&gt;"",Uncertainties!L117,"")</f>
        <v/>
      </c>
      <c r="G124" s="96" t="str">
        <f>IF(Worksheet!J118&lt;&gt;"",Worksheet!J118,"")</f>
        <v/>
      </c>
      <c r="H124" s="97"/>
    </row>
    <row r="125" spans="2:8" x14ac:dyDescent="0.25">
      <c r="B125" s="65" t="str">
        <f>IF(Worksheet!B119&lt;&gt;"",Worksheet!B119,"")</f>
        <v/>
      </c>
      <c r="C125" s="14" t="str">
        <f>IF(Worksheet!D119&lt;&gt;"",Worksheet!D119,"")</f>
        <v/>
      </c>
      <c r="D125" s="29" t="str">
        <f>IF(Worksheet!E119&lt;&gt;"",Worksheet!U119,"")</f>
        <v/>
      </c>
      <c r="E125" s="17" t="str">
        <f>IF(AND(Worksheet!E119&lt;&gt;"",Worksheet!F119&lt;&gt;"",Worksheet!G119&lt;&gt;""),Worksheet!I119,"")</f>
        <v/>
      </c>
      <c r="F125" s="58" t="str">
        <f>IF(Worksheet!E119&lt;&gt;"",Uncertainties!L118,"")</f>
        <v/>
      </c>
      <c r="G125" s="96" t="str">
        <f>IF(Worksheet!J119&lt;&gt;"",Worksheet!J119,"")</f>
        <v/>
      </c>
      <c r="H125" s="97"/>
    </row>
    <row r="126" spans="2:8" x14ac:dyDescent="0.25">
      <c r="B126" s="65" t="str">
        <f>IF(Worksheet!B120&lt;&gt;"",Worksheet!B120,"")</f>
        <v/>
      </c>
      <c r="C126" s="14" t="str">
        <f>IF(Worksheet!D120&lt;&gt;"",Worksheet!D120,"")</f>
        <v/>
      </c>
      <c r="D126" s="29" t="str">
        <f>IF(Worksheet!E120&lt;&gt;"",Worksheet!U120,"")</f>
        <v/>
      </c>
      <c r="E126" s="17" t="str">
        <f>IF(AND(Worksheet!E120&lt;&gt;"",Worksheet!F120&lt;&gt;"",Worksheet!G120&lt;&gt;""),Worksheet!I120,"")</f>
        <v/>
      </c>
      <c r="F126" s="58" t="str">
        <f>IF(Worksheet!E120&lt;&gt;"",Uncertainties!L119,"")</f>
        <v/>
      </c>
      <c r="G126" s="96" t="str">
        <f>IF(Worksheet!J120&lt;&gt;"",Worksheet!J120,"")</f>
        <v/>
      </c>
      <c r="H126" s="97"/>
    </row>
    <row r="127" spans="2:8" x14ac:dyDescent="0.25">
      <c r="B127" s="65" t="str">
        <f>IF(Worksheet!B121&lt;&gt;"",Worksheet!B121,"")</f>
        <v/>
      </c>
      <c r="C127" s="14" t="str">
        <f>IF(Worksheet!D121&lt;&gt;"",Worksheet!D121,"")</f>
        <v/>
      </c>
      <c r="D127" s="29" t="str">
        <f>IF(Worksheet!E121&lt;&gt;"",Worksheet!U121,"")</f>
        <v/>
      </c>
      <c r="E127" s="17" t="str">
        <f>IF(AND(Worksheet!E121&lt;&gt;"",Worksheet!F121&lt;&gt;"",Worksheet!G121&lt;&gt;""),Worksheet!I121,"")</f>
        <v/>
      </c>
      <c r="F127" s="58" t="str">
        <f>IF(Worksheet!E121&lt;&gt;"",Uncertainties!L120,"")</f>
        <v/>
      </c>
      <c r="G127" s="96" t="str">
        <f>IF(Worksheet!J121&lt;&gt;"",Worksheet!J121,"")</f>
        <v/>
      </c>
      <c r="H127" s="97"/>
    </row>
    <row r="128" spans="2:8" x14ac:dyDescent="0.25">
      <c r="B128" s="65" t="str">
        <f>IF(Worksheet!B122&lt;&gt;"",Worksheet!B122,"")</f>
        <v/>
      </c>
      <c r="C128" s="14" t="str">
        <f>IF(Worksheet!D122&lt;&gt;"",Worksheet!D122,"")</f>
        <v/>
      </c>
      <c r="D128" s="29" t="str">
        <f>IF(Worksheet!E122&lt;&gt;"",Worksheet!U122,"")</f>
        <v/>
      </c>
      <c r="E128" s="17" t="str">
        <f>IF(AND(Worksheet!E122&lt;&gt;"",Worksheet!F122&lt;&gt;"",Worksheet!G122&lt;&gt;""),Worksheet!I122,"")</f>
        <v/>
      </c>
      <c r="F128" s="58" t="str">
        <f>IF(Worksheet!E122&lt;&gt;"",Uncertainties!L121,"")</f>
        <v/>
      </c>
      <c r="G128" s="96" t="str">
        <f>IF(Worksheet!J122&lt;&gt;"",Worksheet!J122,"")</f>
        <v/>
      </c>
      <c r="H128" s="97"/>
    </row>
    <row r="129" spans="2:8" x14ac:dyDescent="0.25">
      <c r="B129" s="65" t="str">
        <f>IF(Worksheet!B123&lt;&gt;"",Worksheet!B123,"")</f>
        <v/>
      </c>
      <c r="C129" s="14" t="str">
        <f>IF(Worksheet!D123&lt;&gt;"",Worksheet!D123,"")</f>
        <v/>
      </c>
      <c r="D129" s="29" t="str">
        <f>IF(Worksheet!E123&lt;&gt;"",Worksheet!U123,"")</f>
        <v/>
      </c>
      <c r="E129" s="17" t="str">
        <f>IF(AND(Worksheet!E123&lt;&gt;"",Worksheet!F123&lt;&gt;"",Worksheet!G123&lt;&gt;""),Worksheet!I123,"")</f>
        <v/>
      </c>
      <c r="F129" s="58" t="str">
        <f>IF(Worksheet!E123&lt;&gt;"",Uncertainties!L122,"")</f>
        <v/>
      </c>
      <c r="G129" s="96" t="str">
        <f>IF(Worksheet!J123&lt;&gt;"",Worksheet!J123,"")</f>
        <v/>
      </c>
      <c r="H129" s="97"/>
    </row>
    <row r="130" spans="2:8" x14ac:dyDescent="0.25">
      <c r="B130" s="65" t="str">
        <f>IF(Worksheet!B124&lt;&gt;"",Worksheet!B124,"")</f>
        <v/>
      </c>
      <c r="C130" s="14" t="str">
        <f>IF(Worksheet!D124&lt;&gt;"",Worksheet!D124,"")</f>
        <v/>
      </c>
      <c r="D130" s="29" t="str">
        <f>IF(Worksheet!E124&lt;&gt;"",Worksheet!U124,"")</f>
        <v/>
      </c>
      <c r="E130" s="17" t="str">
        <f>IF(AND(Worksheet!E124&lt;&gt;"",Worksheet!F124&lt;&gt;"",Worksheet!G124&lt;&gt;""),Worksheet!I124,"")</f>
        <v/>
      </c>
      <c r="F130" s="58" t="str">
        <f>IF(Worksheet!E124&lt;&gt;"",Uncertainties!L123,"")</f>
        <v/>
      </c>
      <c r="G130" s="96" t="str">
        <f>IF(Worksheet!J124&lt;&gt;"",Worksheet!J124,"")</f>
        <v/>
      </c>
      <c r="H130" s="97"/>
    </row>
    <row r="131" spans="2:8" x14ac:dyDescent="0.25">
      <c r="B131" s="65" t="str">
        <f>IF(Worksheet!B125&lt;&gt;"",Worksheet!B125,"")</f>
        <v/>
      </c>
      <c r="C131" s="14" t="str">
        <f>IF(Worksheet!D125&lt;&gt;"",Worksheet!D125,"")</f>
        <v/>
      </c>
      <c r="D131" s="29" t="str">
        <f>IF(Worksheet!E125&lt;&gt;"",Worksheet!U125,"")</f>
        <v/>
      </c>
      <c r="E131" s="17" t="str">
        <f>IF(AND(Worksheet!E125&lt;&gt;"",Worksheet!F125&lt;&gt;"",Worksheet!G125&lt;&gt;""),Worksheet!I125,"")</f>
        <v/>
      </c>
      <c r="F131" s="58" t="str">
        <f>IF(Worksheet!E125&lt;&gt;"",Uncertainties!L124,"")</f>
        <v/>
      </c>
      <c r="G131" s="96" t="str">
        <f>IF(Worksheet!J125&lt;&gt;"",Worksheet!J125,"")</f>
        <v/>
      </c>
      <c r="H131" s="97"/>
    </row>
    <row r="132" spans="2:8" x14ac:dyDescent="0.25">
      <c r="B132" s="65" t="str">
        <f>IF(Worksheet!B126&lt;&gt;"",Worksheet!B126,"")</f>
        <v/>
      </c>
      <c r="C132" s="14" t="str">
        <f>IF(Worksheet!D126&lt;&gt;"",Worksheet!D126,"")</f>
        <v/>
      </c>
      <c r="D132" s="29" t="str">
        <f>IF(Worksheet!E126&lt;&gt;"",Worksheet!U126,"")</f>
        <v/>
      </c>
      <c r="E132" s="17" t="str">
        <f>IF(AND(Worksheet!E126&lt;&gt;"",Worksheet!F126&lt;&gt;"",Worksheet!G126&lt;&gt;""),Worksheet!I126,"")</f>
        <v/>
      </c>
      <c r="F132" s="58" t="str">
        <f>IF(Worksheet!E126&lt;&gt;"",Uncertainties!L125,"")</f>
        <v/>
      </c>
      <c r="G132" s="96" t="str">
        <f>IF(Worksheet!J126&lt;&gt;"",Worksheet!J126,"")</f>
        <v/>
      </c>
      <c r="H132" s="97"/>
    </row>
    <row r="133" spans="2:8" x14ac:dyDescent="0.25">
      <c r="B133" s="65" t="str">
        <f>IF(Worksheet!B127&lt;&gt;"",Worksheet!B127,"")</f>
        <v/>
      </c>
      <c r="C133" s="14" t="str">
        <f>IF(Worksheet!D127&lt;&gt;"",Worksheet!D127,"")</f>
        <v/>
      </c>
      <c r="D133" s="29" t="str">
        <f>IF(Worksheet!E127&lt;&gt;"",Worksheet!U127,"")</f>
        <v/>
      </c>
      <c r="E133" s="17" t="str">
        <f>IF(AND(Worksheet!E127&lt;&gt;"",Worksheet!F127&lt;&gt;"",Worksheet!G127&lt;&gt;""),Worksheet!I127,"")</f>
        <v/>
      </c>
      <c r="F133" s="58" t="str">
        <f>IF(Worksheet!E127&lt;&gt;"",Uncertainties!L126,"")</f>
        <v/>
      </c>
      <c r="G133" s="96" t="str">
        <f>IF(Worksheet!J127&lt;&gt;"",Worksheet!J127,"")</f>
        <v/>
      </c>
      <c r="H133" s="97"/>
    </row>
    <row r="134" spans="2:8" x14ac:dyDescent="0.25">
      <c r="B134" s="65" t="str">
        <f>IF(Worksheet!B128&lt;&gt;"",Worksheet!B128,"")</f>
        <v/>
      </c>
      <c r="C134" s="14" t="str">
        <f>IF(Worksheet!D128&lt;&gt;"",Worksheet!D128,"")</f>
        <v/>
      </c>
      <c r="D134" s="29" t="str">
        <f>IF(Worksheet!E128&lt;&gt;"",Worksheet!U128,"")</f>
        <v/>
      </c>
      <c r="E134" s="17" t="str">
        <f>IF(AND(Worksheet!E128&lt;&gt;"",Worksheet!F128&lt;&gt;"",Worksheet!G128&lt;&gt;""),Worksheet!I128,"")</f>
        <v/>
      </c>
      <c r="F134" s="58" t="str">
        <f>IF(Worksheet!E128&lt;&gt;"",Uncertainties!L127,"")</f>
        <v/>
      </c>
      <c r="G134" s="96" t="str">
        <f>IF(Worksheet!J128&lt;&gt;"",Worksheet!J128,"")</f>
        <v/>
      </c>
      <c r="H134" s="97"/>
    </row>
    <row r="135" spans="2:8" x14ac:dyDescent="0.25">
      <c r="B135" s="65" t="str">
        <f>IF(Worksheet!B129&lt;&gt;"",Worksheet!B129,"")</f>
        <v/>
      </c>
      <c r="C135" s="14" t="str">
        <f>IF(Worksheet!D129&lt;&gt;"",Worksheet!D129,"")</f>
        <v/>
      </c>
      <c r="D135" s="29" t="str">
        <f>IF(Worksheet!E129&lt;&gt;"",Worksheet!U129,"")</f>
        <v/>
      </c>
      <c r="E135" s="17" t="str">
        <f>IF(AND(Worksheet!E129&lt;&gt;"",Worksheet!F129&lt;&gt;"",Worksheet!G129&lt;&gt;""),Worksheet!I129,"")</f>
        <v/>
      </c>
      <c r="F135" s="58" t="str">
        <f>IF(Worksheet!E129&lt;&gt;"",Uncertainties!L128,"")</f>
        <v/>
      </c>
      <c r="G135" s="96" t="str">
        <f>IF(Worksheet!J129&lt;&gt;"",Worksheet!J129,"")</f>
        <v/>
      </c>
      <c r="H135" s="97"/>
    </row>
    <row r="136" spans="2:8" x14ac:dyDescent="0.25">
      <c r="B136" s="65" t="str">
        <f>IF(Worksheet!B130&lt;&gt;"",Worksheet!B130,"")</f>
        <v/>
      </c>
      <c r="C136" s="14" t="str">
        <f>IF(Worksheet!D130&lt;&gt;"",Worksheet!D130,"")</f>
        <v/>
      </c>
      <c r="D136" s="29" t="str">
        <f>IF(Worksheet!E130&lt;&gt;"",Worksheet!U130,"")</f>
        <v/>
      </c>
      <c r="E136" s="17" t="str">
        <f>IF(AND(Worksheet!E130&lt;&gt;"",Worksheet!F130&lt;&gt;"",Worksheet!G130&lt;&gt;""),Worksheet!I130,"")</f>
        <v/>
      </c>
      <c r="F136" s="58" t="str">
        <f>IF(Worksheet!E130&lt;&gt;"",Uncertainties!L129,"")</f>
        <v/>
      </c>
      <c r="G136" s="96" t="str">
        <f>IF(Worksheet!J130&lt;&gt;"",Worksheet!J130,"")</f>
        <v/>
      </c>
      <c r="H136" s="97"/>
    </row>
    <row r="137" spans="2:8" x14ac:dyDescent="0.25">
      <c r="B137" s="65" t="str">
        <f>IF(Worksheet!B131&lt;&gt;"",Worksheet!B131,"")</f>
        <v/>
      </c>
      <c r="C137" s="14" t="str">
        <f>IF(Worksheet!D131&lt;&gt;"",Worksheet!D131,"")</f>
        <v/>
      </c>
      <c r="D137" s="29" t="str">
        <f>IF(Worksheet!E131&lt;&gt;"",Worksheet!U131,"")</f>
        <v/>
      </c>
      <c r="E137" s="17" t="str">
        <f>IF(AND(Worksheet!E131&lt;&gt;"",Worksheet!F131&lt;&gt;"",Worksheet!G131&lt;&gt;""),Worksheet!I131,"")</f>
        <v/>
      </c>
      <c r="F137" s="58" t="str">
        <f>IF(Worksheet!E131&lt;&gt;"",Uncertainties!L130,"")</f>
        <v/>
      </c>
      <c r="G137" s="96" t="str">
        <f>IF(Worksheet!J131&lt;&gt;"",Worksheet!J131,"")</f>
        <v/>
      </c>
      <c r="H137" s="97"/>
    </row>
    <row r="138" spans="2:8" x14ac:dyDescent="0.25">
      <c r="B138" s="65" t="str">
        <f>IF(Worksheet!B132&lt;&gt;"",Worksheet!B132,"")</f>
        <v/>
      </c>
      <c r="C138" s="14" t="str">
        <f>IF(Worksheet!D132&lt;&gt;"",Worksheet!D132,"")</f>
        <v/>
      </c>
      <c r="D138" s="29" t="str">
        <f>IF(Worksheet!E132&lt;&gt;"",Worksheet!U132,"")</f>
        <v/>
      </c>
      <c r="E138" s="17" t="str">
        <f>IF(AND(Worksheet!E132&lt;&gt;"",Worksheet!F132&lt;&gt;"",Worksheet!G132&lt;&gt;""),Worksheet!I132,"")</f>
        <v/>
      </c>
      <c r="F138" s="58" t="str">
        <f>IF(Worksheet!E132&lt;&gt;"",Uncertainties!L131,"")</f>
        <v/>
      </c>
      <c r="G138" s="96" t="str">
        <f>IF(Worksheet!J132&lt;&gt;"",Worksheet!J132,"")</f>
        <v/>
      </c>
      <c r="H138" s="97"/>
    </row>
    <row r="139" spans="2:8" x14ac:dyDescent="0.25">
      <c r="B139" s="65" t="str">
        <f>IF(Worksheet!B133&lt;&gt;"",Worksheet!B133,"")</f>
        <v/>
      </c>
      <c r="C139" s="14" t="str">
        <f>IF(Worksheet!D133&lt;&gt;"",Worksheet!D133,"")</f>
        <v/>
      </c>
      <c r="D139" s="29" t="str">
        <f>IF(Worksheet!E133&lt;&gt;"",Worksheet!U133,"")</f>
        <v/>
      </c>
      <c r="E139" s="17" t="str">
        <f>IF(AND(Worksheet!E133&lt;&gt;"",Worksheet!F133&lt;&gt;"",Worksheet!G133&lt;&gt;""),Worksheet!I133,"")</f>
        <v/>
      </c>
      <c r="F139" s="58" t="str">
        <f>IF(Worksheet!E133&lt;&gt;"",Uncertainties!L132,"")</f>
        <v/>
      </c>
      <c r="G139" s="96" t="str">
        <f>IF(Worksheet!J133&lt;&gt;"",Worksheet!J133,"")</f>
        <v/>
      </c>
      <c r="H139" s="97"/>
    </row>
    <row r="140" spans="2:8" x14ac:dyDescent="0.25">
      <c r="B140" s="65" t="str">
        <f>IF(Worksheet!B134&lt;&gt;"",Worksheet!B134,"")</f>
        <v/>
      </c>
      <c r="C140" s="14" t="str">
        <f>IF(Worksheet!D134&lt;&gt;"",Worksheet!D134,"")</f>
        <v/>
      </c>
      <c r="D140" s="29" t="str">
        <f>IF(Worksheet!E134&lt;&gt;"",Worksheet!U134,"")</f>
        <v/>
      </c>
      <c r="E140" s="17" t="str">
        <f>IF(AND(Worksheet!E134&lt;&gt;"",Worksheet!F134&lt;&gt;"",Worksheet!G134&lt;&gt;""),Worksheet!I134,"")</f>
        <v/>
      </c>
      <c r="F140" s="58" t="str">
        <f>IF(Worksheet!E134&lt;&gt;"",Uncertainties!L133,"")</f>
        <v/>
      </c>
      <c r="G140" s="96" t="str">
        <f>IF(Worksheet!J134&lt;&gt;"",Worksheet!J134,"")</f>
        <v/>
      </c>
      <c r="H140" s="97"/>
    </row>
    <row r="141" spans="2:8" x14ac:dyDescent="0.25">
      <c r="B141" s="65" t="str">
        <f>IF(Worksheet!B135&lt;&gt;"",Worksheet!B135,"")</f>
        <v/>
      </c>
      <c r="C141" s="14" t="str">
        <f>IF(Worksheet!D135&lt;&gt;"",Worksheet!D135,"")</f>
        <v/>
      </c>
      <c r="D141" s="29" t="str">
        <f>IF(Worksheet!E135&lt;&gt;"",Worksheet!U135,"")</f>
        <v/>
      </c>
      <c r="E141" s="17" t="str">
        <f>IF(AND(Worksheet!E135&lt;&gt;"",Worksheet!F135&lt;&gt;"",Worksheet!G135&lt;&gt;""),Worksheet!I135,"")</f>
        <v/>
      </c>
      <c r="F141" s="58" t="str">
        <f>IF(Worksheet!E135&lt;&gt;"",Uncertainties!L134,"")</f>
        <v/>
      </c>
      <c r="G141" s="96" t="str">
        <f>IF(Worksheet!J135&lt;&gt;"",Worksheet!J135,"")</f>
        <v/>
      </c>
      <c r="H141" s="97"/>
    </row>
    <row r="142" spans="2:8" x14ac:dyDescent="0.25">
      <c r="B142" s="66" t="str">
        <f>IF(Worksheet!B136&lt;&gt;"",Worksheet!B136,"")</f>
        <v/>
      </c>
      <c r="C142" s="14" t="str">
        <f>IF(Worksheet!D136&lt;&gt;"",Worksheet!D136,"")</f>
        <v/>
      </c>
      <c r="D142" s="29" t="str">
        <f>IF(Worksheet!E136&lt;&gt;"",Worksheet!U136,"")</f>
        <v/>
      </c>
      <c r="E142" s="17" t="str">
        <f>IF(AND(Worksheet!E136&lt;&gt;"",Worksheet!F136&lt;&gt;"",Worksheet!G136&lt;&gt;""),Worksheet!I136,"")</f>
        <v/>
      </c>
      <c r="F142" s="58" t="str">
        <f>IF(Worksheet!E136&lt;&gt;"",Uncertainties!L135,"")</f>
        <v/>
      </c>
      <c r="G142" s="96" t="str">
        <f>IF(Worksheet!J136&lt;&gt;"",Worksheet!J136,"")</f>
        <v/>
      </c>
      <c r="H142" s="97"/>
    </row>
    <row r="143" spans="2:8" x14ac:dyDescent="0.25">
      <c r="B143" s="67"/>
      <c r="C143" s="9"/>
      <c r="D143" s="16"/>
      <c r="E143" s="16"/>
      <c r="F143" s="16"/>
      <c r="G143" s="9"/>
      <c r="H143" s="9"/>
    </row>
  </sheetData>
  <sheetProtection algorithmName="SHA-512" hashValue="XtwHQXNStpGMiNnxtntXUt++95CQq1HX3SdpY3D/7gFZLiu0m+Gp8J92/Xol5y1QNY4F75QdGaRAqF5voSva5g==" saltValue="TPyWGmkCmZA1YkoLUmLwGQ==" spinCount="100000" sheet="1" selectLockedCells="1" selectUnlockedCells="1"/>
  <mergeCells count="138">
    <mergeCell ref="G130:H130"/>
    <mergeCell ref="G110:H110"/>
    <mergeCell ref="G111:H111"/>
    <mergeCell ref="G112:H112"/>
    <mergeCell ref="G113:H113"/>
    <mergeCell ref="G114:H114"/>
    <mergeCell ref="G115:H115"/>
    <mergeCell ref="G116:H116"/>
    <mergeCell ref="G117:H117"/>
    <mergeCell ref="G129:H129"/>
    <mergeCell ref="G127:H127"/>
    <mergeCell ref="G128:H128"/>
    <mergeCell ref="G122:H122"/>
    <mergeCell ref="G123:H123"/>
    <mergeCell ref="G124:H124"/>
    <mergeCell ref="G125:H125"/>
    <mergeCell ref="G140:H140"/>
    <mergeCell ref="G141:H141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63:H63"/>
    <mergeCell ref="G41:H41"/>
    <mergeCell ref="G42:H42"/>
    <mergeCell ref="G43:H43"/>
    <mergeCell ref="G44:H44"/>
    <mergeCell ref="G45:H45"/>
    <mergeCell ref="G51:H51"/>
    <mergeCell ref="G52:H52"/>
    <mergeCell ref="G53:H53"/>
    <mergeCell ref="G54:H54"/>
    <mergeCell ref="G50:H50"/>
    <mergeCell ref="C46:G46"/>
    <mergeCell ref="B47:H47"/>
    <mergeCell ref="G55:H55"/>
    <mergeCell ref="G56:H56"/>
    <mergeCell ref="G57:H57"/>
    <mergeCell ref="G58:H58"/>
    <mergeCell ref="G59:H59"/>
    <mergeCell ref="G60:H60"/>
    <mergeCell ref="G48:H48"/>
    <mergeCell ref="G73:H73"/>
    <mergeCell ref="G74:H74"/>
    <mergeCell ref="G75:H75"/>
    <mergeCell ref="G76:H76"/>
    <mergeCell ref="G77:H77"/>
    <mergeCell ref="G118:H118"/>
    <mergeCell ref="G119:H119"/>
    <mergeCell ref="G120:H120"/>
    <mergeCell ref="G121:H121"/>
    <mergeCell ref="G87:H87"/>
    <mergeCell ref="G88:H88"/>
    <mergeCell ref="G89:H89"/>
    <mergeCell ref="G90:H90"/>
    <mergeCell ref="G91:H91"/>
    <mergeCell ref="G92:H92"/>
    <mergeCell ref="G93:H93"/>
    <mergeCell ref="G99:H99"/>
    <mergeCell ref="G78:H78"/>
    <mergeCell ref="G79:H79"/>
    <mergeCell ref="G80:H80"/>
    <mergeCell ref="G81:H81"/>
    <mergeCell ref="G82:H82"/>
    <mergeCell ref="G97:H97"/>
    <mergeCell ref="G109:H109"/>
    <mergeCell ref="G64:H64"/>
    <mergeCell ref="G65:H65"/>
    <mergeCell ref="G66:H66"/>
    <mergeCell ref="G67:H67"/>
    <mergeCell ref="G68:H68"/>
    <mergeCell ref="G69:H69"/>
    <mergeCell ref="G70:H70"/>
    <mergeCell ref="G71:H71"/>
    <mergeCell ref="G72:H72"/>
    <mergeCell ref="G83:H83"/>
    <mergeCell ref="G84:H84"/>
    <mergeCell ref="G85:H85"/>
    <mergeCell ref="G86:H86"/>
    <mergeCell ref="G100:H100"/>
    <mergeCell ref="G101:H101"/>
    <mergeCell ref="G102:H102"/>
    <mergeCell ref="G103:H103"/>
    <mergeCell ref="G104:H104"/>
    <mergeCell ref="G105:H105"/>
    <mergeCell ref="G106:H106"/>
    <mergeCell ref="G107:H107"/>
    <mergeCell ref="G108:H108"/>
    <mergeCell ref="G126:H126"/>
    <mergeCell ref="G6:H6"/>
    <mergeCell ref="G7:H7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C2:G2"/>
    <mergeCell ref="G3:H3"/>
    <mergeCell ref="C95:G95"/>
    <mergeCell ref="B96:H96"/>
    <mergeCell ref="C1:G1"/>
    <mergeCell ref="G5:H5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40:H40"/>
    <mergeCell ref="G61:H61"/>
    <mergeCell ref="G62:H62"/>
  </mergeCells>
  <pageMargins left="0.7" right="0.7" top="0.75" bottom="0.75" header="0.3" footer="0.3"/>
  <pageSetup scale="93" orientation="portrait" r:id="rId1"/>
  <rowBreaks count="2" manualBreakCount="2">
    <brk id="45" max="10" man="1"/>
    <brk id="94" max="1638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stopIfTrue="1" id="{D97F1751-A17B-471C-81A2-EC12F8807EF4}">
            <xm:f>Tolerances!$AI$2&lt;&gt;"Y"</xm:f>
            <x14:dxf>
              <font>
                <color auto="1"/>
              </font>
            </x14:dxf>
          </x14:cfRule>
          <x14:cfRule type="cellIs" priority="16" operator="notBetween" id="{F858F723-23CC-4E75-9F04-0A8D200F9E5A}">
            <xm:f>Worksheet!$S6</xm:f>
            <xm:f>-(Worksheet!$S6)</xm:f>
            <x14:dxf>
              <font>
                <color rgb="FFFF0000"/>
              </font>
            </x14:dxf>
          </x14:cfRule>
          <xm:sqref>D6:D45</xm:sqref>
        </x14:conditionalFormatting>
        <x14:conditionalFormatting xmlns:xm="http://schemas.microsoft.com/office/excel/2006/main">
          <x14:cfRule type="expression" priority="11" stopIfTrue="1" id="{3EF3882C-6BEC-4A1A-869D-E5197F2722AC}">
            <xm:f>Tolerances!$AI$2&lt;&gt;"Y"</xm:f>
            <x14:dxf>
              <font>
                <color auto="1"/>
              </font>
            </x14:dxf>
          </x14:cfRule>
          <x14:cfRule type="cellIs" priority="12" operator="notBetween" id="{97D0DD6E-9AD8-48DD-B9CB-C65F0ABC0DAE}">
            <xm:f>Worksheet!$S48</xm:f>
            <xm:f>-(Worksheet!$S48)</xm:f>
            <x14:dxf>
              <font>
                <color rgb="FFFF0000"/>
              </font>
            </x14:dxf>
          </x14:cfRule>
          <xm:sqref>D51:D93</xm:sqref>
        </x14:conditionalFormatting>
        <x14:conditionalFormatting xmlns:xm="http://schemas.microsoft.com/office/excel/2006/main">
          <x14:cfRule type="expression" priority="7" stopIfTrue="1" id="{A75DE383-C00D-4F8C-99C7-AB824269CE9D}">
            <xm:f>Tolerances!$AI$2&lt;&gt;"Y"</xm:f>
            <x14:dxf>
              <font>
                <color auto="1"/>
              </font>
            </x14:dxf>
          </x14:cfRule>
          <x14:cfRule type="cellIs" priority="8" operator="notBetween" id="{E1B22870-2E30-4559-AD84-D5AD424370C2}">
            <xm:f>Worksheet!$S94</xm:f>
            <xm:f>-(Worksheet!$S94)</xm:f>
            <x14:dxf>
              <font>
                <color rgb="FFFF0000"/>
              </font>
            </x14:dxf>
          </x14:cfRule>
          <xm:sqref>D100:D142</xm:sqref>
        </x14:conditionalFormatting>
        <x14:conditionalFormatting xmlns:xm="http://schemas.microsoft.com/office/excel/2006/main">
          <x14:cfRule type="expression" priority="13" stopIfTrue="1" id="{BE489F29-8D98-4087-ABDC-C9D56EDC6A54}">
            <xm:f>Tolerances!$AI$1&lt;&gt;"Y"</xm:f>
            <x14:dxf/>
          </x14:cfRule>
          <x14:cfRule type="cellIs" priority="14" operator="notBetween" id="{17857A56-1174-462B-B1FC-F59D5CF5B4FC}">
            <xm:f>Worksheet!$T6</xm:f>
            <xm:f>-(Worksheet!$T6)</xm:f>
            <x14:dxf>
              <font>
                <color rgb="FFFF0000"/>
              </font>
            </x14:dxf>
          </x14:cfRule>
          <xm:sqref>E6:E45</xm:sqref>
        </x14:conditionalFormatting>
        <x14:conditionalFormatting xmlns:xm="http://schemas.microsoft.com/office/excel/2006/main">
          <x14:cfRule type="expression" priority="3" stopIfTrue="1" id="{E5FD41B7-72D1-4F17-8245-7879F34123E1}">
            <xm:f>Tolerances!$AI$1&lt;&gt;"Y"</xm:f>
            <x14:dxf/>
          </x14:cfRule>
          <x14:cfRule type="cellIs" priority="4" operator="notBetween" id="{4A7136AF-D093-4C32-957A-D2B3D24875FE}">
            <xm:f>Worksheet!$T48</xm:f>
            <xm:f>-(Worksheet!$T48)</xm:f>
            <x14:dxf>
              <font>
                <color rgb="FFFF0000"/>
              </font>
            </x14:dxf>
          </x14:cfRule>
          <xm:sqref>E51:E93</xm:sqref>
        </x14:conditionalFormatting>
        <x14:conditionalFormatting xmlns:xm="http://schemas.microsoft.com/office/excel/2006/main">
          <x14:cfRule type="expression" priority="1" stopIfTrue="1" id="{D8FD0C02-47AC-46D9-A8A4-B091E9F6784B}">
            <xm:f>Tolerances!$AI$1&lt;&gt;"Y"</xm:f>
            <x14:dxf/>
          </x14:cfRule>
          <x14:cfRule type="cellIs" priority="2" operator="notBetween" id="{A11F4581-745A-4E95-9773-DB6D36845FB0}">
            <xm:f>Worksheet!$T94</xm:f>
            <xm:f>-(Worksheet!$T94)</xm:f>
            <x14:dxf>
              <font>
                <color rgb="FFFF0000"/>
              </font>
            </x14:dxf>
          </x14:cfRule>
          <xm:sqref>E100:E142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D3787-0626-41AD-8E4B-06C0597F737A}">
  <sheetPr codeName="Sheet3"/>
  <dimension ref="B2:Y130"/>
  <sheetViews>
    <sheetView workbookViewId="0">
      <selection activeCell="G14" sqref="G14"/>
    </sheetView>
  </sheetViews>
  <sheetFormatPr defaultRowHeight="15" x14ac:dyDescent="0.25"/>
  <cols>
    <col min="3" max="22" width="14" customWidth="1"/>
  </cols>
  <sheetData>
    <row r="2" spans="2:25" ht="15.75" thickBot="1" x14ac:dyDescent="0.3"/>
    <row r="3" spans="2:25" s="3" customFormat="1" ht="14.45" customHeight="1" x14ac:dyDescent="0.25">
      <c r="B3" s="3" t="s">
        <v>39</v>
      </c>
      <c r="C3" s="83" t="s">
        <v>43</v>
      </c>
      <c r="D3" s="83" t="s">
        <v>40</v>
      </c>
      <c r="E3" s="83" t="s">
        <v>41</v>
      </c>
      <c r="F3" s="83" t="s">
        <v>42</v>
      </c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</row>
    <row r="4" spans="2:25" s="3" customFormat="1" x14ac:dyDescent="0.25">
      <c r="C4" s="81">
        <v>1</v>
      </c>
      <c r="D4" s="81">
        <v>2</v>
      </c>
      <c r="E4" s="81">
        <v>3</v>
      </c>
      <c r="F4" s="81">
        <v>4</v>
      </c>
      <c r="G4" s="81">
        <v>5</v>
      </c>
      <c r="H4" s="81">
        <v>6</v>
      </c>
      <c r="I4" s="81">
        <v>7</v>
      </c>
      <c r="J4" s="81">
        <v>8</v>
      </c>
      <c r="K4" s="81">
        <v>9</v>
      </c>
      <c r="L4" s="81">
        <v>10</v>
      </c>
      <c r="M4" s="81">
        <v>11</v>
      </c>
      <c r="N4" s="81">
        <v>12</v>
      </c>
      <c r="O4" s="81">
        <v>13</v>
      </c>
      <c r="P4" s="81">
        <v>14</v>
      </c>
      <c r="Q4" s="81">
        <v>15</v>
      </c>
      <c r="R4" s="81">
        <v>16</v>
      </c>
      <c r="S4" s="81">
        <v>17</v>
      </c>
      <c r="T4" s="81">
        <v>18</v>
      </c>
      <c r="U4" s="81">
        <v>19</v>
      </c>
      <c r="V4" s="82">
        <v>20</v>
      </c>
      <c r="Y4" s="3" t="str" cm="1">
        <f t="array" ref="Y4:Y7">TRANSPOSE(_xlfn._xlws.FILTER(C3:V3, C3:V3&lt;&gt;0))</f>
        <v>No Template</v>
      </c>
    </row>
    <row r="5" spans="2:25" x14ac:dyDescent="0.25">
      <c r="B5">
        <v>1</v>
      </c>
      <c r="C5" s="84"/>
      <c r="D5" s="102" t="s">
        <v>44</v>
      </c>
      <c r="E5" s="102" t="s">
        <v>45</v>
      </c>
      <c r="F5" s="102" t="s">
        <v>45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Y5" t="str">
        <v>9 Blocks</v>
      </c>
    </row>
    <row r="6" spans="2:25" x14ac:dyDescent="0.25">
      <c r="B6">
        <v>2</v>
      </c>
      <c r="C6" s="84"/>
      <c r="D6" s="102" t="s">
        <v>46</v>
      </c>
      <c r="E6" s="102" t="s">
        <v>46</v>
      </c>
      <c r="F6" s="102" t="s">
        <v>46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Y6" t="str">
        <v>36 piece set</v>
      </c>
    </row>
    <row r="7" spans="2:25" x14ac:dyDescent="0.25">
      <c r="B7">
        <v>3</v>
      </c>
      <c r="C7" s="84"/>
      <c r="D7" s="102" t="s">
        <v>47</v>
      </c>
      <c r="E7" s="102" t="s">
        <v>48</v>
      </c>
      <c r="F7" s="102" t="s">
        <v>48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Y7" t="str">
        <v>81 piece set</v>
      </c>
    </row>
    <row r="8" spans="2:25" x14ac:dyDescent="0.25">
      <c r="B8">
        <v>4</v>
      </c>
      <c r="C8" s="84"/>
      <c r="D8" s="102" t="s">
        <v>49</v>
      </c>
      <c r="E8" s="102" t="s">
        <v>50</v>
      </c>
      <c r="F8" s="102" t="s">
        <v>50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</row>
    <row r="9" spans="2:25" x14ac:dyDescent="0.25">
      <c r="B9">
        <v>5</v>
      </c>
      <c r="C9" s="84"/>
      <c r="D9" s="102" t="s">
        <v>51</v>
      </c>
      <c r="E9" s="102" t="s">
        <v>52</v>
      </c>
      <c r="F9" s="102" t="s">
        <v>52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</row>
    <row r="10" spans="2:25" x14ac:dyDescent="0.25">
      <c r="B10">
        <v>6</v>
      </c>
      <c r="C10" s="84"/>
      <c r="D10" s="102" t="s">
        <v>53</v>
      </c>
      <c r="E10" s="102" t="s">
        <v>54</v>
      </c>
      <c r="F10" s="102" t="s">
        <v>54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</row>
    <row r="11" spans="2:25" x14ac:dyDescent="0.25">
      <c r="B11">
        <v>7</v>
      </c>
      <c r="C11" s="84"/>
      <c r="D11" s="102" t="s">
        <v>55</v>
      </c>
      <c r="E11" s="102" t="s">
        <v>56</v>
      </c>
      <c r="F11" s="102" t="s">
        <v>56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</row>
    <row r="12" spans="2:25" x14ac:dyDescent="0.25">
      <c r="B12">
        <v>8</v>
      </c>
      <c r="C12" s="84"/>
      <c r="D12" s="102" t="s">
        <v>57</v>
      </c>
      <c r="E12" s="102" t="s">
        <v>58</v>
      </c>
      <c r="F12" s="102" t="s">
        <v>58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</row>
    <row r="13" spans="2:25" x14ac:dyDescent="0.25">
      <c r="B13">
        <v>9</v>
      </c>
      <c r="C13" s="84"/>
      <c r="D13" s="102" t="s">
        <v>59</v>
      </c>
      <c r="E13" s="102" t="s">
        <v>60</v>
      </c>
      <c r="F13" s="102" t="s">
        <v>60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</row>
    <row r="14" spans="2:25" x14ac:dyDescent="0.25">
      <c r="B14">
        <v>10</v>
      </c>
      <c r="C14" s="84"/>
      <c r="D14" s="102"/>
      <c r="E14" s="102" t="s">
        <v>61</v>
      </c>
      <c r="F14" s="102" t="s">
        <v>61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</row>
    <row r="15" spans="2:25" x14ac:dyDescent="0.25">
      <c r="B15">
        <v>11</v>
      </c>
      <c r="C15" s="84"/>
      <c r="D15" s="102"/>
      <c r="E15" s="102" t="s">
        <v>62</v>
      </c>
      <c r="F15" s="102" t="s">
        <v>62</v>
      </c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2:25" x14ac:dyDescent="0.25">
      <c r="B16">
        <v>12</v>
      </c>
      <c r="C16" s="84"/>
      <c r="D16" s="102"/>
      <c r="E16" s="102" t="s">
        <v>63</v>
      </c>
      <c r="F16" s="102" t="s">
        <v>63</v>
      </c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</row>
    <row r="17" spans="2:22" x14ac:dyDescent="0.25">
      <c r="B17">
        <v>13</v>
      </c>
      <c r="C17" s="84"/>
      <c r="D17" s="102"/>
      <c r="E17" s="102" t="s">
        <v>64</v>
      </c>
      <c r="F17" s="102" t="s">
        <v>64</v>
      </c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</row>
    <row r="18" spans="2:22" x14ac:dyDescent="0.25">
      <c r="B18">
        <v>14</v>
      </c>
      <c r="C18" s="84"/>
      <c r="D18" s="102"/>
      <c r="E18" s="102" t="s">
        <v>65</v>
      </c>
      <c r="F18" s="102" t="s">
        <v>65</v>
      </c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</row>
    <row r="19" spans="2:22" x14ac:dyDescent="0.25">
      <c r="B19">
        <v>15</v>
      </c>
      <c r="C19" s="84"/>
      <c r="D19" s="102"/>
      <c r="E19" s="102" t="s">
        <v>66</v>
      </c>
      <c r="F19" s="102" t="s">
        <v>66</v>
      </c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</row>
    <row r="20" spans="2:22" x14ac:dyDescent="0.25">
      <c r="B20">
        <v>16</v>
      </c>
      <c r="C20" s="84"/>
      <c r="D20" s="102"/>
      <c r="E20" s="102" t="s">
        <v>67</v>
      </c>
      <c r="F20" s="102" t="s">
        <v>67</v>
      </c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</row>
    <row r="21" spans="2:22" x14ac:dyDescent="0.25">
      <c r="B21">
        <v>17</v>
      </c>
      <c r="C21" s="84"/>
      <c r="D21" s="102"/>
      <c r="E21" s="102" t="s">
        <v>68</v>
      </c>
      <c r="F21" s="102" t="s">
        <v>68</v>
      </c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</row>
    <row r="22" spans="2:22" x14ac:dyDescent="0.25">
      <c r="B22">
        <v>18</v>
      </c>
      <c r="C22" s="84"/>
      <c r="D22" s="102"/>
      <c r="E22" s="102" t="s">
        <v>69</v>
      </c>
      <c r="F22" s="102" t="s">
        <v>69</v>
      </c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</row>
    <row r="23" spans="2:22" x14ac:dyDescent="0.25">
      <c r="B23">
        <v>19</v>
      </c>
      <c r="C23" s="84"/>
      <c r="D23" s="102"/>
      <c r="E23" s="102" t="s">
        <v>70</v>
      </c>
      <c r="F23" s="102" t="s">
        <v>70</v>
      </c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</row>
    <row r="24" spans="2:22" x14ac:dyDescent="0.25">
      <c r="B24">
        <v>20</v>
      </c>
      <c r="C24" s="84"/>
      <c r="D24" s="102"/>
      <c r="E24" s="102" t="s">
        <v>71</v>
      </c>
      <c r="F24" s="102" t="s">
        <v>71</v>
      </c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</row>
    <row r="25" spans="2:22" x14ac:dyDescent="0.25">
      <c r="B25">
        <v>21</v>
      </c>
      <c r="C25" s="84"/>
      <c r="D25" s="102"/>
      <c r="E25" s="102" t="s">
        <v>72</v>
      </c>
      <c r="F25" s="102" t="s">
        <v>72</v>
      </c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</row>
    <row r="26" spans="2:22" x14ac:dyDescent="0.25">
      <c r="B26">
        <v>22</v>
      </c>
      <c r="C26" s="84"/>
      <c r="D26" s="102"/>
      <c r="E26" s="102" t="s">
        <v>73</v>
      </c>
      <c r="F26" s="102" t="s">
        <v>74</v>
      </c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</row>
    <row r="27" spans="2:22" x14ac:dyDescent="0.25">
      <c r="B27">
        <v>23</v>
      </c>
      <c r="C27" s="84"/>
      <c r="D27" s="102"/>
      <c r="E27" s="102" t="s">
        <v>75</v>
      </c>
      <c r="F27" s="102" t="s">
        <v>76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2:22" x14ac:dyDescent="0.25">
      <c r="B28">
        <v>24</v>
      </c>
      <c r="C28" s="84"/>
      <c r="D28" s="102"/>
      <c r="E28" s="102" t="s">
        <v>77</v>
      </c>
      <c r="F28" s="102" t="s">
        <v>78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</row>
    <row r="29" spans="2:22" x14ac:dyDescent="0.25">
      <c r="B29">
        <v>25</v>
      </c>
      <c r="C29" s="84"/>
      <c r="D29" s="102"/>
      <c r="E29" s="102" t="s">
        <v>79</v>
      </c>
      <c r="F29" s="102" t="s">
        <v>80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</row>
    <row r="30" spans="2:22" x14ac:dyDescent="0.25">
      <c r="B30">
        <v>26</v>
      </c>
      <c r="C30" s="84"/>
      <c r="D30" s="102"/>
      <c r="E30" s="102" t="s">
        <v>81</v>
      </c>
      <c r="F30" s="102" t="s">
        <v>82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</row>
    <row r="31" spans="2:22" x14ac:dyDescent="0.25">
      <c r="B31">
        <v>27</v>
      </c>
      <c r="C31" s="84"/>
      <c r="D31" s="102"/>
      <c r="E31" s="102" t="s">
        <v>83</v>
      </c>
      <c r="F31" s="102" t="s">
        <v>84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</row>
    <row r="32" spans="2:22" x14ac:dyDescent="0.25">
      <c r="B32">
        <v>28</v>
      </c>
      <c r="C32" s="84"/>
      <c r="D32" s="102"/>
      <c r="E32" s="102" t="s">
        <v>85</v>
      </c>
      <c r="F32" s="102" t="s">
        <v>86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</row>
    <row r="33" spans="2:22" x14ac:dyDescent="0.25">
      <c r="B33">
        <v>29</v>
      </c>
      <c r="C33" s="84"/>
      <c r="D33" s="102"/>
      <c r="E33" s="102" t="s">
        <v>87</v>
      </c>
      <c r="F33" s="102" t="s">
        <v>88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</row>
    <row r="34" spans="2:22" x14ac:dyDescent="0.25">
      <c r="B34">
        <v>30</v>
      </c>
      <c r="C34" s="84"/>
      <c r="D34" s="102"/>
      <c r="E34" s="102" t="s">
        <v>49</v>
      </c>
      <c r="F34" s="102" t="s">
        <v>89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</row>
    <row r="35" spans="2:22" x14ac:dyDescent="0.25">
      <c r="B35">
        <v>31</v>
      </c>
      <c r="C35" s="84"/>
      <c r="D35" s="102"/>
      <c r="E35" s="102" t="s">
        <v>53</v>
      </c>
      <c r="F35" s="102" t="s">
        <v>73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</row>
    <row r="36" spans="2:22" x14ac:dyDescent="0.25">
      <c r="B36">
        <v>32</v>
      </c>
      <c r="C36" s="84"/>
      <c r="D36" s="102"/>
      <c r="E36" s="102" t="s">
        <v>90</v>
      </c>
      <c r="F36" s="102" t="s">
        <v>91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</row>
    <row r="37" spans="2:22" x14ac:dyDescent="0.25">
      <c r="B37">
        <v>33</v>
      </c>
      <c r="C37" s="84"/>
      <c r="D37" s="102"/>
      <c r="E37" s="102" t="s">
        <v>55</v>
      </c>
      <c r="F37" s="102" t="s">
        <v>92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</row>
    <row r="38" spans="2:22" x14ac:dyDescent="0.25">
      <c r="B38">
        <v>34</v>
      </c>
      <c r="C38" s="84"/>
      <c r="D38" s="102"/>
      <c r="E38" s="102" t="s">
        <v>57</v>
      </c>
      <c r="F38" s="102" t="s">
        <v>93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2:22" x14ac:dyDescent="0.25">
      <c r="B39">
        <v>35</v>
      </c>
      <c r="C39" s="84"/>
      <c r="D39" s="102"/>
      <c r="E39" s="102" t="s">
        <v>94</v>
      </c>
      <c r="F39" s="102" t="s">
        <v>95</v>
      </c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2:22" x14ac:dyDescent="0.25">
      <c r="B40">
        <v>36</v>
      </c>
      <c r="C40" s="84"/>
      <c r="D40" s="102"/>
      <c r="E40" s="102" t="s">
        <v>96</v>
      </c>
      <c r="F40" s="102" t="s">
        <v>47</v>
      </c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</row>
    <row r="41" spans="2:22" x14ac:dyDescent="0.25">
      <c r="B41">
        <v>37</v>
      </c>
      <c r="C41" s="84"/>
      <c r="D41" s="102"/>
      <c r="E41" s="102"/>
      <c r="F41" s="102" t="s">
        <v>97</v>
      </c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</row>
    <row r="42" spans="2:22" x14ac:dyDescent="0.25">
      <c r="B42">
        <v>38</v>
      </c>
      <c r="C42" s="84"/>
      <c r="D42" s="102"/>
      <c r="E42" s="102"/>
      <c r="F42" s="102" t="s">
        <v>98</v>
      </c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</row>
    <row r="43" spans="2:22" x14ac:dyDescent="0.25">
      <c r="B43">
        <v>39</v>
      </c>
      <c r="C43" s="84"/>
      <c r="D43" s="102"/>
      <c r="E43" s="102"/>
      <c r="F43" s="102" t="s">
        <v>99</v>
      </c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2:22" x14ac:dyDescent="0.25">
      <c r="B44">
        <v>40</v>
      </c>
      <c r="C44" s="84"/>
      <c r="D44" s="102"/>
      <c r="E44" s="102"/>
      <c r="F44" s="102" t="s">
        <v>100</v>
      </c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</row>
    <row r="45" spans="2:22" x14ac:dyDescent="0.25">
      <c r="B45">
        <v>41</v>
      </c>
      <c r="C45" s="84"/>
      <c r="D45" s="102"/>
      <c r="E45" s="102"/>
      <c r="F45" s="102" t="s">
        <v>75</v>
      </c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</row>
    <row r="46" spans="2:22" x14ac:dyDescent="0.25">
      <c r="B46">
        <v>42</v>
      </c>
      <c r="C46" s="84"/>
      <c r="D46" s="102"/>
      <c r="E46" s="102"/>
      <c r="F46" s="102" t="s">
        <v>101</v>
      </c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2:22" x14ac:dyDescent="0.25">
      <c r="B47">
        <v>43</v>
      </c>
      <c r="C47" s="84"/>
      <c r="D47" s="102"/>
      <c r="E47" s="102"/>
      <c r="F47" s="102" t="s">
        <v>102</v>
      </c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2:22" x14ac:dyDescent="0.25">
      <c r="B48">
        <v>44</v>
      </c>
      <c r="C48" s="84"/>
      <c r="D48" s="102"/>
      <c r="E48" s="102"/>
      <c r="F48" s="102" t="s">
        <v>103</v>
      </c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</row>
    <row r="49" spans="2:22" x14ac:dyDescent="0.25">
      <c r="B49">
        <v>45</v>
      </c>
      <c r="C49" s="84"/>
      <c r="D49" s="102"/>
      <c r="E49" s="102"/>
      <c r="F49" s="102" t="s">
        <v>104</v>
      </c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</row>
    <row r="50" spans="2:22" x14ac:dyDescent="0.25">
      <c r="B50">
        <v>46</v>
      </c>
      <c r="C50" s="84"/>
      <c r="D50" s="102"/>
      <c r="E50" s="102"/>
      <c r="F50" s="102" t="s">
        <v>105</v>
      </c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2:22" x14ac:dyDescent="0.25">
      <c r="B51">
        <v>47</v>
      </c>
      <c r="C51" s="84"/>
      <c r="D51" s="102"/>
      <c r="E51" s="102"/>
      <c r="F51" s="102" t="s">
        <v>106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2:22" x14ac:dyDescent="0.25">
      <c r="B52">
        <v>48</v>
      </c>
      <c r="C52" s="84"/>
      <c r="D52" s="102"/>
      <c r="E52" s="102"/>
      <c r="F52" s="102" t="s">
        <v>107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</row>
    <row r="53" spans="2:22" x14ac:dyDescent="0.25">
      <c r="B53">
        <v>49</v>
      </c>
      <c r="C53" s="84"/>
      <c r="D53" s="102"/>
      <c r="E53" s="102"/>
      <c r="F53" s="102" t="s">
        <v>108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</row>
    <row r="54" spans="2:22" x14ac:dyDescent="0.25">
      <c r="B54">
        <v>50</v>
      </c>
      <c r="C54" s="84"/>
      <c r="D54" s="102"/>
      <c r="E54" s="102"/>
      <c r="F54" s="102" t="s">
        <v>109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</row>
    <row r="55" spans="2:22" x14ac:dyDescent="0.25">
      <c r="B55">
        <v>51</v>
      </c>
      <c r="C55" s="84"/>
      <c r="D55" s="102"/>
      <c r="E55" s="102"/>
      <c r="F55" s="102" t="s">
        <v>77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</row>
    <row r="56" spans="2:22" x14ac:dyDescent="0.25">
      <c r="B56">
        <v>52</v>
      </c>
      <c r="C56" s="84"/>
      <c r="D56" s="102"/>
      <c r="E56" s="102"/>
      <c r="F56" s="102" t="s">
        <v>110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</row>
    <row r="57" spans="2:22" x14ac:dyDescent="0.25">
      <c r="B57">
        <v>53</v>
      </c>
      <c r="C57" s="84"/>
      <c r="D57" s="102"/>
      <c r="E57" s="102"/>
      <c r="F57" s="102" t="s">
        <v>111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</row>
    <row r="58" spans="2:22" x14ac:dyDescent="0.25">
      <c r="B58">
        <v>54</v>
      </c>
      <c r="C58" s="84"/>
      <c r="D58" s="102"/>
      <c r="E58" s="102"/>
      <c r="F58" s="102" t="s">
        <v>112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</row>
    <row r="59" spans="2:22" x14ac:dyDescent="0.25">
      <c r="B59">
        <v>55</v>
      </c>
      <c r="C59" s="84"/>
      <c r="D59" s="102"/>
      <c r="E59" s="102"/>
      <c r="F59" s="102" t="s">
        <v>113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</row>
    <row r="60" spans="2:22" x14ac:dyDescent="0.25">
      <c r="B60">
        <v>56</v>
      </c>
      <c r="C60" s="84"/>
      <c r="D60" s="102"/>
      <c r="E60" s="102"/>
      <c r="F60" s="102" t="s">
        <v>114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</row>
    <row r="61" spans="2:22" x14ac:dyDescent="0.25">
      <c r="B61">
        <v>57</v>
      </c>
      <c r="C61" s="84"/>
      <c r="D61" s="102"/>
      <c r="E61" s="102"/>
      <c r="F61" s="102" t="s">
        <v>115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</row>
    <row r="62" spans="2:22" x14ac:dyDescent="0.25">
      <c r="B62">
        <v>58</v>
      </c>
      <c r="C62" s="84"/>
      <c r="D62" s="102"/>
      <c r="E62" s="102"/>
      <c r="F62" s="102" t="s">
        <v>116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</row>
    <row r="63" spans="2:22" x14ac:dyDescent="0.25">
      <c r="B63">
        <v>59</v>
      </c>
      <c r="C63" s="84"/>
      <c r="D63" s="102"/>
      <c r="E63" s="102"/>
      <c r="F63" s="102" t="s">
        <v>117</v>
      </c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</row>
    <row r="64" spans="2:22" x14ac:dyDescent="0.25">
      <c r="B64">
        <v>60</v>
      </c>
      <c r="C64" s="84"/>
      <c r="D64" s="102"/>
      <c r="E64" s="102"/>
      <c r="F64" s="102" t="s">
        <v>118</v>
      </c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</row>
    <row r="65" spans="2:22" x14ac:dyDescent="0.25">
      <c r="B65">
        <v>61</v>
      </c>
      <c r="C65" s="84"/>
      <c r="D65" s="102"/>
      <c r="E65" s="102"/>
      <c r="F65" s="102" t="s">
        <v>79</v>
      </c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</row>
    <row r="66" spans="2:22" x14ac:dyDescent="0.25">
      <c r="B66">
        <v>62</v>
      </c>
      <c r="C66" s="84"/>
      <c r="D66" s="102"/>
      <c r="E66" s="102"/>
      <c r="F66" s="102" t="s">
        <v>49</v>
      </c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</row>
    <row r="67" spans="2:22" x14ac:dyDescent="0.25">
      <c r="B67">
        <v>63</v>
      </c>
      <c r="C67" s="84"/>
      <c r="D67" s="102"/>
      <c r="E67" s="102"/>
      <c r="F67" s="102" t="s">
        <v>51</v>
      </c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</row>
    <row r="68" spans="2:22" x14ac:dyDescent="0.25">
      <c r="B68">
        <v>64</v>
      </c>
      <c r="C68" s="84"/>
      <c r="D68" s="102"/>
      <c r="E68" s="102"/>
      <c r="F68" s="102" t="s">
        <v>53</v>
      </c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</row>
    <row r="69" spans="2:22" x14ac:dyDescent="0.25">
      <c r="B69">
        <v>65</v>
      </c>
      <c r="C69" s="84"/>
      <c r="D69" s="102"/>
      <c r="E69" s="102"/>
      <c r="F69" s="102" t="s">
        <v>119</v>
      </c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</row>
    <row r="70" spans="2:22" x14ac:dyDescent="0.25">
      <c r="B70">
        <v>66</v>
      </c>
      <c r="C70" s="84"/>
      <c r="D70" s="102"/>
      <c r="E70" s="102"/>
      <c r="F70" s="102" t="s">
        <v>90</v>
      </c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2:22" x14ac:dyDescent="0.25">
      <c r="B71">
        <v>67</v>
      </c>
      <c r="C71" s="84"/>
      <c r="D71" s="102"/>
      <c r="E71" s="102"/>
      <c r="F71" s="102" t="s">
        <v>120</v>
      </c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2:22" x14ac:dyDescent="0.25">
      <c r="B72">
        <v>68</v>
      </c>
      <c r="C72" s="84"/>
      <c r="D72" s="102"/>
      <c r="E72" s="102"/>
      <c r="F72" s="102" t="s">
        <v>55</v>
      </c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</row>
    <row r="73" spans="2:22" x14ac:dyDescent="0.25">
      <c r="B73">
        <v>69</v>
      </c>
      <c r="C73" s="84"/>
      <c r="D73" s="102"/>
      <c r="E73" s="102"/>
      <c r="F73" s="102" t="s">
        <v>121</v>
      </c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</row>
    <row r="74" spans="2:22" x14ac:dyDescent="0.25">
      <c r="B74">
        <v>70</v>
      </c>
      <c r="C74" s="84"/>
      <c r="D74" s="102"/>
      <c r="E74" s="102"/>
      <c r="F74" s="102" t="s">
        <v>122</v>
      </c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</row>
    <row r="75" spans="2:22" x14ac:dyDescent="0.25">
      <c r="B75">
        <v>71</v>
      </c>
      <c r="C75" s="84"/>
      <c r="D75" s="102"/>
      <c r="E75" s="102"/>
      <c r="F75" s="102" t="s">
        <v>123</v>
      </c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</row>
    <row r="76" spans="2:22" x14ac:dyDescent="0.25">
      <c r="B76">
        <v>72</v>
      </c>
      <c r="C76" s="84"/>
      <c r="D76" s="102"/>
      <c r="E76" s="102"/>
      <c r="F76" s="102" t="s">
        <v>124</v>
      </c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</row>
    <row r="77" spans="2:22" x14ac:dyDescent="0.25">
      <c r="B77">
        <v>73</v>
      </c>
      <c r="C77" s="84"/>
      <c r="D77" s="102"/>
      <c r="E77" s="102"/>
      <c r="F77" s="102" t="s">
        <v>125</v>
      </c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</row>
    <row r="78" spans="2:22" x14ac:dyDescent="0.25">
      <c r="B78">
        <v>74</v>
      </c>
      <c r="C78" s="84"/>
      <c r="D78" s="102"/>
      <c r="E78" s="102"/>
      <c r="F78" s="102" t="s">
        <v>126</v>
      </c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</row>
    <row r="79" spans="2:22" x14ac:dyDescent="0.25">
      <c r="B79">
        <v>75</v>
      </c>
      <c r="C79" s="84"/>
      <c r="D79" s="102"/>
      <c r="E79" s="102"/>
      <c r="F79" s="102" t="s">
        <v>127</v>
      </c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</row>
    <row r="80" spans="2:22" x14ac:dyDescent="0.25">
      <c r="B80">
        <v>76</v>
      </c>
      <c r="C80" s="84"/>
      <c r="D80" s="102"/>
      <c r="E80" s="102"/>
      <c r="F80" s="102" t="s">
        <v>128</v>
      </c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</row>
    <row r="81" spans="2:22" x14ac:dyDescent="0.25">
      <c r="B81">
        <v>77</v>
      </c>
      <c r="C81" s="84"/>
      <c r="D81" s="102"/>
      <c r="E81" s="102"/>
      <c r="F81" s="102" t="s">
        <v>129</v>
      </c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</row>
    <row r="82" spans="2:22" x14ac:dyDescent="0.25">
      <c r="B82">
        <v>78</v>
      </c>
      <c r="C82" s="84"/>
      <c r="D82" s="102"/>
      <c r="E82" s="102"/>
      <c r="F82" s="102" t="s">
        <v>57</v>
      </c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</row>
    <row r="83" spans="2:22" x14ac:dyDescent="0.25">
      <c r="B83">
        <v>79</v>
      </c>
      <c r="C83" s="84"/>
      <c r="D83" s="102"/>
      <c r="E83" s="102"/>
      <c r="F83" s="102" t="s">
        <v>94</v>
      </c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</row>
    <row r="84" spans="2:22" x14ac:dyDescent="0.25">
      <c r="B84">
        <v>80</v>
      </c>
      <c r="C84" s="84"/>
      <c r="D84" s="102"/>
      <c r="E84" s="102"/>
      <c r="F84" s="102" t="s">
        <v>130</v>
      </c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</row>
    <row r="85" spans="2:22" x14ac:dyDescent="0.25">
      <c r="B85">
        <v>81</v>
      </c>
      <c r="C85" s="84"/>
      <c r="D85" s="102"/>
      <c r="E85" s="102"/>
      <c r="F85" s="102" t="s">
        <v>96</v>
      </c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</row>
    <row r="86" spans="2:22" x14ac:dyDescent="0.25">
      <c r="B86">
        <v>82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</row>
    <row r="87" spans="2:22" x14ac:dyDescent="0.25">
      <c r="B87">
        <v>83</v>
      </c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</row>
    <row r="88" spans="2:22" x14ac:dyDescent="0.25">
      <c r="B88">
        <v>84</v>
      </c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</row>
    <row r="89" spans="2:22" x14ac:dyDescent="0.25">
      <c r="B89">
        <v>85</v>
      </c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</row>
    <row r="90" spans="2:22" x14ac:dyDescent="0.25">
      <c r="B90">
        <v>86</v>
      </c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</row>
    <row r="91" spans="2:22" x14ac:dyDescent="0.25">
      <c r="B91">
        <v>87</v>
      </c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</row>
    <row r="92" spans="2:22" x14ac:dyDescent="0.25">
      <c r="B92">
        <v>88</v>
      </c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</row>
    <row r="93" spans="2:22" x14ac:dyDescent="0.25">
      <c r="B93">
        <v>89</v>
      </c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</row>
    <row r="94" spans="2:22" x14ac:dyDescent="0.25">
      <c r="B94">
        <v>90</v>
      </c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</row>
    <row r="95" spans="2:22" x14ac:dyDescent="0.25">
      <c r="B95">
        <v>91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</row>
    <row r="96" spans="2:22" x14ac:dyDescent="0.25">
      <c r="B96">
        <v>92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</row>
    <row r="97" spans="2:22" x14ac:dyDescent="0.25">
      <c r="B97">
        <v>93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</row>
    <row r="98" spans="2:22" x14ac:dyDescent="0.25">
      <c r="B98">
        <v>94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</row>
    <row r="99" spans="2:22" x14ac:dyDescent="0.25">
      <c r="B99">
        <v>95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</row>
    <row r="100" spans="2:22" x14ac:dyDescent="0.25">
      <c r="B100">
        <v>96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</row>
    <row r="101" spans="2:22" x14ac:dyDescent="0.25">
      <c r="B101">
        <v>97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</row>
    <row r="102" spans="2:22" x14ac:dyDescent="0.25">
      <c r="B102">
        <v>98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</row>
    <row r="103" spans="2:22" x14ac:dyDescent="0.25">
      <c r="B103">
        <v>99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</row>
    <row r="104" spans="2:22" x14ac:dyDescent="0.25">
      <c r="B104">
        <v>100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</row>
    <row r="105" spans="2:22" x14ac:dyDescent="0.25">
      <c r="B105">
        <v>101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</row>
    <row r="106" spans="2:22" x14ac:dyDescent="0.25">
      <c r="B106">
        <v>102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</row>
    <row r="107" spans="2:22" x14ac:dyDescent="0.25">
      <c r="B107">
        <v>103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</row>
    <row r="108" spans="2:22" x14ac:dyDescent="0.25">
      <c r="B108">
        <v>104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</row>
    <row r="109" spans="2:22" x14ac:dyDescent="0.25">
      <c r="B109">
        <v>105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</row>
    <row r="110" spans="2:22" x14ac:dyDescent="0.25">
      <c r="B110">
        <v>106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</row>
    <row r="111" spans="2:22" x14ac:dyDescent="0.25">
      <c r="B111">
        <v>107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</row>
    <row r="112" spans="2:22" x14ac:dyDescent="0.25">
      <c r="B112">
        <v>108</v>
      </c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</row>
    <row r="113" spans="2:22" x14ac:dyDescent="0.25">
      <c r="B113">
        <v>109</v>
      </c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</row>
    <row r="114" spans="2:22" x14ac:dyDescent="0.25">
      <c r="B114">
        <v>110</v>
      </c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2:22" x14ac:dyDescent="0.25">
      <c r="B115">
        <v>111</v>
      </c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</row>
    <row r="116" spans="2:22" x14ac:dyDescent="0.25">
      <c r="B116">
        <v>112</v>
      </c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</row>
    <row r="117" spans="2:22" x14ac:dyDescent="0.25">
      <c r="B117">
        <v>113</v>
      </c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</row>
    <row r="118" spans="2:22" x14ac:dyDescent="0.25">
      <c r="B118">
        <v>114</v>
      </c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</row>
    <row r="119" spans="2:22" x14ac:dyDescent="0.25">
      <c r="B119">
        <v>115</v>
      </c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</row>
    <row r="120" spans="2:22" x14ac:dyDescent="0.25">
      <c r="B120">
        <v>116</v>
      </c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</row>
    <row r="121" spans="2:22" x14ac:dyDescent="0.25">
      <c r="B121">
        <v>117</v>
      </c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</row>
    <row r="122" spans="2:22" x14ac:dyDescent="0.25">
      <c r="B122">
        <v>118</v>
      </c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</row>
    <row r="123" spans="2:22" x14ac:dyDescent="0.25">
      <c r="B123">
        <v>119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</row>
    <row r="124" spans="2:22" x14ac:dyDescent="0.25">
      <c r="B124">
        <v>120</v>
      </c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</row>
    <row r="125" spans="2:22" x14ac:dyDescent="0.25">
      <c r="B125">
        <v>121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</row>
    <row r="126" spans="2:22" x14ac:dyDescent="0.25">
      <c r="B126">
        <v>122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</row>
    <row r="127" spans="2:22" x14ac:dyDescent="0.25">
      <c r="B127">
        <v>123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</row>
    <row r="128" spans="2:22" x14ac:dyDescent="0.25">
      <c r="B128">
        <v>124</v>
      </c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</row>
    <row r="129" spans="2:22" x14ac:dyDescent="0.25">
      <c r="B129">
        <v>125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</row>
    <row r="130" spans="2:22" x14ac:dyDescent="0.25">
      <c r="B130">
        <v>126</v>
      </c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</row>
  </sheetData>
  <sheetProtection algorithmName="SHA-512" hashValue="oGTOnch0NEPjD7MEHGOu/xjoOlihsPziciyxfkDhLzPtMPfAgfzCAcgQyliaEKisbzd2DZ5eBHVjISZ/PujEzA==" saltValue="ge9chde9NV9Xw5D9SObCsA==" spinCount="100000" sheet="1" objects="1" scenarios="1" selectLockedCells="1"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154"/>
  <sheetViews>
    <sheetView workbookViewId="0">
      <selection activeCell="I6" sqref="I6"/>
    </sheetView>
  </sheetViews>
  <sheetFormatPr defaultColWidth="9.140625" defaultRowHeight="15" x14ac:dyDescent="0.25"/>
  <cols>
    <col min="1" max="1" width="18.28515625" customWidth="1"/>
    <col min="2" max="2" width="18.85546875" customWidth="1"/>
    <col min="3" max="4" width="9.140625" customWidth="1"/>
    <col min="6" max="6" width="10.140625" customWidth="1"/>
    <col min="8" max="8" width="9.140625" style="52"/>
  </cols>
  <sheetData>
    <row r="1" spans="1:14" x14ac:dyDescent="0.25">
      <c r="A1" s="35" t="s">
        <v>131</v>
      </c>
      <c r="B1" s="36"/>
    </row>
    <row r="2" spans="1:14" x14ac:dyDescent="0.25">
      <c r="A2" s="37" t="s">
        <v>132</v>
      </c>
      <c r="B2" s="38" t="s">
        <v>133</v>
      </c>
    </row>
    <row r="3" spans="1:14" ht="15.75" thickBot="1" x14ac:dyDescent="0.3">
      <c r="A3" s="37" t="s">
        <v>134</v>
      </c>
      <c r="B3" s="38" t="s">
        <v>135</v>
      </c>
    </row>
    <row r="4" spans="1:14" ht="15.75" thickBot="1" x14ac:dyDescent="0.3">
      <c r="A4" s="39" t="s">
        <v>136</v>
      </c>
      <c r="B4" s="40" t="s">
        <v>137</v>
      </c>
      <c r="I4" s="41" t="s">
        <v>138</v>
      </c>
      <c r="J4" s="42" t="s">
        <v>139</v>
      </c>
      <c r="K4" s="43" t="s">
        <v>140</v>
      </c>
      <c r="L4" s="43" t="s">
        <v>6</v>
      </c>
      <c r="M4" s="43" t="s">
        <v>141</v>
      </c>
      <c r="N4" s="44" t="s">
        <v>142</v>
      </c>
    </row>
    <row r="5" spans="1:14" ht="15.75" thickBot="1" x14ac:dyDescent="0.3">
      <c r="H5" s="52">
        <v>1</v>
      </c>
      <c r="I5" s="45" t="str">
        <f>Worksheet!R6</f>
        <v/>
      </c>
      <c r="J5" s="46" t="s">
        <v>143</v>
      </c>
      <c r="K5" s="46"/>
      <c r="L5" s="46" t="str">
        <f>IF(I5&lt;$B$8,$E$8,IF(AND(I5&gt;=$B$9,I5&lt;=$D$9),($F$9*I5)+$E$9,IF(AND(I5&gt;$B$10,I5&lt;=$D$10),($F$10*I5)+$E$10,"")))</f>
        <v/>
      </c>
      <c r="M5" s="46"/>
      <c r="N5" s="47"/>
    </row>
    <row r="6" spans="1:14" ht="15.75" thickBot="1" x14ac:dyDescent="0.3">
      <c r="A6" s="48" t="s">
        <v>131</v>
      </c>
      <c r="B6" s="48" t="s">
        <v>144</v>
      </c>
      <c r="C6" s="34">
        <v>0</v>
      </c>
      <c r="H6" s="52">
        <v>2</v>
      </c>
      <c r="I6" s="45" t="str">
        <f>Worksheet!R7</f>
        <v/>
      </c>
      <c r="J6" s="46" t="s">
        <v>143</v>
      </c>
      <c r="K6" s="46"/>
      <c r="L6" s="46" t="str">
        <f t="shared" ref="L6:L69" si="0">IF(I6&lt;$B$8,$E$8,IF(AND(I6&gt;=$B$9,I6&lt;=$D$9),($F$9*I6)+$E$9,IF(AND(I6&gt;$B$10,I6&lt;=$D$10),($F$10*I6)+$E$10,"")))</f>
        <v/>
      </c>
      <c r="M6" s="46"/>
      <c r="N6" s="47"/>
    </row>
    <row r="7" spans="1:14" ht="15.75" thickBot="1" x14ac:dyDescent="0.3">
      <c r="A7" s="41"/>
      <c r="B7" s="42"/>
      <c r="C7" s="42"/>
      <c r="D7" s="42"/>
      <c r="E7" s="42" t="s">
        <v>145</v>
      </c>
      <c r="F7" s="49" t="s">
        <v>146</v>
      </c>
      <c r="H7" s="52">
        <v>3</v>
      </c>
      <c r="I7" s="45" t="str">
        <f>Worksheet!R8</f>
        <v/>
      </c>
      <c r="J7" s="46" t="s">
        <v>143</v>
      </c>
      <c r="K7" s="46"/>
      <c r="L7" s="46" t="str">
        <f t="shared" si="0"/>
        <v/>
      </c>
      <c r="M7" s="46"/>
      <c r="N7" s="47"/>
    </row>
    <row r="8" spans="1:14" ht="15.75" thickBot="1" x14ac:dyDescent="0.3">
      <c r="A8" s="50" t="s">
        <v>147</v>
      </c>
      <c r="B8">
        <v>0.1</v>
      </c>
      <c r="E8">
        <v>4</v>
      </c>
      <c r="F8" s="51"/>
      <c r="H8" s="52">
        <v>4</v>
      </c>
      <c r="I8" s="45" t="str">
        <f>Worksheet!R9</f>
        <v/>
      </c>
      <c r="J8" s="46" t="s">
        <v>143</v>
      </c>
      <c r="K8" s="46"/>
      <c r="L8" s="46" t="str">
        <f t="shared" si="0"/>
        <v/>
      </c>
      <c r="M8" s="46"/>
      <c r="N8" s="47"/>
    </row>
    <row r="9" spans="1:14" ht="15.75" thickBot="1" x14ac:dyDescent="0.3">
      <c r="A9" s="50" t="s">
        <v>148</v>
      </c>
      <c r="B9">
        <v>0.1</v>
      </c>
      <c r="C9" t="s">
        <v>149</v>
      </c>
      <c r="D9">
        <v>4</v>
      </c>
      <c r="E9">
        <v>2</v>
      </c>
      <c r="F9" s="51">
        <v>1.4</v>
      </c>
      <c r="H9" s="52">
        <v>5</v>
      </c>
      <c r="I9" s="45" t="str">
        <f>Worksheet!R10</f>
        <v/>
      </c>
      <c r="J9" s="46" t="s">
        <v>143</v>
      </c>
      <c r="K9" s="46"/>
      <c r="L9" s="46" t="str">
        <f t="shared" si="0"/>
        <v/>
      </c>
      <c r="M9" s="46"/>
      <c r="N9" s="47"/>
    </row>
    <row r="10" spans="1:14" ht="15.75" thickBot="1" x14ac:dyDescent="0.3">
      <c r="A10" s="45" t="s">
        <v>150</v>
      </c>
      <c r="B10" s="46">
        <v>4</v>
      </c>
      <c r="C10" s="46" t="s">
        <v>149</v>
      </c>
      <c r="D10" s="46">
        <v>20</v>
      </c>
      <c r="E10" s="46">
        <v>4.3</v>
      </c>
      <c r="F10" s="47">
        <v>1.4</v>
      </c>
      <c r="H10" s="52">
        <v>6</v>
      </c>
      <c r="I10" s="45" t="str">
        <f>Worksheet!R11</f>
        <v/>
      </c>
      <c r="J10" s="46" t="s">
        <v>143</v>
      </c>
      <c r="K10" s="46"/>
      <c r="L10" s="46" t="str">
        <f t="shared" si="0"/>
        <v/>
      </c>
      <c r="M10" s="46"/>
      <c r="N10" s="47"/>
    </row>
    <row r="11" spans="1:14" ht="15.75" thickBot="1" x14ac:dyDescent="0.3">
      <c r="H11" s="52">
        <v>7</v>
      </c>
      <c r="I11" s="45" t="str">
        <f>Worksheet!R12</f>
        <v/>
      </c>
      <c r="J11" s="46" t="s">
        <v>143</v>
      </c>
      <c r="K11" s="46"/>
      <c r="L11" s="46" t="str">
        <f t="shared" si="0"/>
        <v/>
      </c>
      <c r="M11" s="46"/>
      <c r="N11" s="47"/>
    </row>
    <row r="12" spans="1:14" ht="15.75" thickBot="1" x14ac:dyDescent="0.3">
      <c r="A12" s="48"/>
      <c r="B12" s="48" t="s">
        <v>144</v>
      </c>
      <c r="C12" s="34" t="s">
        <v>141</v>
      </c>
      <c r="H12" s="52">
        <v>8</v>
      </c>
      <c r="I12" s="45" t="str">
        <f>Worksheet!R13</f>
        <v/>
      </c>
      <c r="J12" s="46" t="s">
        <v>143</v>
      </c>
      <c r="K12" s="46"/>
      <c r="L12" s="46" t="str">
        <f t="shared" si="0"/>
        <v/>
      </c>
      <c r="M12" s="46"/>
      <c r="N12" s="47"/>
    </row>
    <row r="13" spans="1:14" ht="15.75" thickBot="1" x14ac:dyDescent="0.3">
      <c r="A13" s="41"/>
      <c r="B13" s="42"/>
      <c r="C13" s="42"/>
      <c r="D13" s="42"/>
      <c r="E13" s="42" t="s">
        <v>145</v>
      </c>
      <c r="F13" s="49" t="s">
        <v>146</v>
      </c>
      <c r="H13" s="52">
        <v>9</v>
      </c>
      <c r="I13" s="45" t="str">
        <f>Worksheet!R14</f>
        <v/>
      </c>
      <c r="J13" s="46" t="s">
        <v>143</v>
      </c>
      <c r="K13" s="46"/>
      <c r="L13" s="46" t="str">
        <f t="shared" si="0"/>
        <v/>
      </c>
      <c r="M13" s="46"/>
      <c r="N13" s="47"/>
    </row>
    <row r="14" spans="1:14" ht="15.75" thickBot="1" x14ac:dyDescent="0.3">
      <c r="A14" s="50" t="s">
        <v>147</v>
      </c>
      <c r="B14">
        <v>0.1</v>
      </c>
      <c r="E14">
        <v>4</v>
      </c>
      <c r="F14" s="51"/>
      <c r="H14" s="52">
        <v>10</v>
      </c>
      <c r="I14" s="45" t="str">
        <f>Worksheet!R15</f>
        <v/>
      </c>
      <c r="J14" s="46" t="s">
        <v>143</v>
      </c>
      <c r="K14" s="46"/>
      <c r="L14" s="46" t="str">
        <f t="shared" si="0"/>
        <v/>
      </c>
      <c r="M14" s="46"/>
      <c r="N14" s="47"/>
    </row>
    <row r="15" spans="1:14" ht="15.75" thickBot="1" x14ac:dyDescent="0.3">
      <c r="A15" s="50" t="s">
        <v>148</v>
      </c>
      <c r="B15">
        <v>0.1</v>
      </c>
      <c r="C15" t="s">
        <v>149</v>
      </c>
      <c r="D15">
        <v>4</v>
      </c>
      <c r="E15">
        <v>2</v>
      </c>
      <c r="F15" s="51">
        <v>1.4</v>
      </c>
      <c r="H15" s="52">
        <v>11</v>
      </c>
      <c r="I15" s="45" t="str">
        <f>Worksheet!R16</f>
        <v/>
      </c>
      <c r="J15" s="46" t="s">
        <v>143</v>
      </c>
      <c r="K15" s="46"/>
      <c r="L15" s="46" t="str">
        <f t="shared" si="0"/>
        <v/>
      </c>
      <c r="M15" s="46"/>
      <c r="N15" s="47"/>
    </row>
    <row r="16" spans="1:14" ht="15.75" thickBot="1" x14ac:dyDescent="0.3">
      <c r="A16" s="45" t="s">
        <v>150</v>
      </c>
      <c r="B16" s="46">
        <v>4</v>
      </c>
      <c r="C16" s="46" t="s">
        <v>149</v>
      </c>
      <c r="D16" s="46">
        <v>20</v>
      </c>
      <c r="E16" s="46">
        <v>4.3</v>
      </c>
      <c r="F16" s="47">
        <v>1.4</v>
      </c>
      <c r="H16" s="52">
        <v>12</v>
      </c>
      <c r="I16" s="45" t="str">
        <f>Worksheet!R17</f>
        <v/>
      </c>
      <c r="J16" s="46" t="s">
        <v>143</v>
      </c>
      <c r="K16" s="46"/>
      <c r="L16" s="46" t="str">
        <f t="shared" si="0"/>
        <v/>
      </c>
      <c r="M16" s="46"/>
      <c r="N16" s="47"/>
    </row>
    <row r="17" spans="1:14" ht="15.75" thickBot="1" x14ac:dyDescent="0.3">
      <c r="H17" s="52">
        <v>13</v>
      </c>
      <c r="I17" s="45" t="str">
        <f>Worksheet!R18</f>
        <v/>
      </c>
      <c r="J17" s="46" t="s">
        <v>143</v>
      </c>
      <c r="K17" s="46"/>
      <c r="L17" s="46" t="str">
        <f t="shared" si="0"/>
        <v/>
      </c>
      <c r="M17" s="46"/>
      <c r="N17" s="47"/>
    </row>
    <row r="18" spans="1:14" ht="15.75" thickBot="1" x14ac:dyDescent="0.3">
      <c r="A18" s="48"/>
      <c r="B18" s="48" t="s">
        <v>144</v>
      </c>
      <c r="C18" s="34" t="s">
        <v>142</v>
      </c>
      <c r="H18" s="52">
        <v>14</v>
      </c>
      <c r="I18" s="45" t="str">
        <f>Worksheet!R19</f>
        <v/>
      </c>
      <c r="J18" s="46" t="s">
        <v>143</v>
      </c>
      <c r="K18" s="46"/>
      <c r="L18" s="46" t="str">
        <f t="shared" si="0"/>
        <v/>
      </c>
      <c r="M18" s="46"/>
      <c r="N18" s="47"/>
    </row>
    <row r="19" spans="1:14" ht="15.75" thickBot="1" x14ac:dyDescent="0.3">
      <c r="A19" s="41"/>
      <c r="B19" s="42"/>
      <c r="C19" s="42"/>
      <c r="D19" s="42"/>
      <c r="E19" s="42" t="s">
        <v>145</v>
      </c>
      <c r="F19" s="49" t="s">
        <v>146</v>
      </c>
      <c r="H19" s="52">
        <v>15</v>
      </c>
      <c r="I19" s="45" t="str">
        <f>Worksheet!R20</f>
        <v/>
      </c>
      <c r="J19" s="46" t="s">
        <v>143</v>
      </c>
      <c r="K19" s="46"/>
      <c r="L19" s="46" t="str">
        <f t="shared" si="0"/>
        <v/>
      </c>
      <c r="M19" s="46"/>
      <c r="N19" s="47"/>
    </row>
    <row r="20" spans="1:14" ht="15.75" thickBot="1" x14ac:dyDescent="0.3">
      <c r="A20" s="50" t="s">
        <v>147</v>
      </c>
      <c r="B20">
        <v>0.1</v>
      </c>
      <c r="E20">
        <v>4</v>
      </c>
      <c r="F20" s="51"/>
      <c r="H20" s="52">
        <v>16</v>
      </c>
      <c r="I20" s="45" t="str">
        <f>Worksheet!R21</f>
        <v/>
      </c>
      <c r="J20" s="46" t="s">
        <v>143</v>
      </c>
      <c r="K20" s="46"/>
      <c r="L20" s="46" t="str">
        <f t="shared" si="0"/>
        <v/>
      </c>
      <c r="M20" s="46"/>
      <c r="N20" s="47"/>
    </row>
    <row r="21" spans="1:14" ht="15.75" thickBot="1" x14ac:dyDescent="0.3">
      <c r="A21" s="50" t="s">
        <v>148</v>
      </c>
      <c r="B21">
        <v>0.1</v>
      </c>
      <c r="C21" t="s">
        <v>149</v>
      </c>
      <c r="D21">
        <v>4</v>
      </c>
      <c r="E21">
        <v>2</v>
      </c>
      <c r="F21" s="51">
        <v>1.4</v>
      </c>
      <c r="H21" s="52">
        <v>17</v>
      </c>
      <c r="I21" s="45" t="str">
        <f>Worksheet!R22</f>
        <v/>
      </c>
      <c r="J21" s="46" t="s">
        <v>143</v>
      </c>
      <c r="K21" s="46"/>
      <c r="L21" s="46" t="str">
        <f t="shared" si="0"/>
        <v/>
      </c>
      <c r="M21" s="46"/>
      <c r="N21" s="47"/>
    </row>
    <row r="22" spans="1:14" ht="15.75" thickBot="1" x14ac:dyDescent="0.3">
      <c r="A22" s="45" t="s">
        <v>150</v>
      </c>
      <c r="B22" s="46">
        <v>4</v>
      </c>
      <c r="C22" s="46" t="s">
        <v>149</v>
      </c>
      <c r="D22" s="46">
        <v>20</v>
      </c>
      <c r="E22" s="46">
        <v>4.3</v>
      </c>
      <c r="F22" s="47">
        <v>1.4</v>
      </c>
      <c r="H22" s="52">
        <v>18</v>
      </c>
      <c r="I22" s="45" t="str">
        <f>Worksheet!R23</f>
        <v/>
      </c>
      <c r="J22" s="46" t="s">
        <v>143</v>
      </c>
      <c r="K22" s="46"/>
      <c r="L22" s="46" t="str">
        <f t="shared" si="0"/>
        <v/>
      </c>
      <c r="M22" s="46"/>
      <c r="N22" s="47"/>
    </row>
    <row r="23" spans="1:14" ht="15.75" thickBot="1" x14ac:dyDescent="0.3">
      <c r="H23" s="52">
        <v>19</v>
      </c>
      <c r="I23" s="45" t="str">
        <f>Worksheet!R24</f>
        <v/>
      </c>
      <c r="J23" s="46" t="s">
        <v>143</v>
      </c>
      <c r="K23" s="46"/>
      <c r="L23" s="46" t="str">
        <f t="shared" si="0"/>
        <v/>
      </c>
      <c r="M23" s="46"/>
      <c r="N23" s="47"/>
    </row>
    <row r="24" spans="1:14" ht="15.75" thickBot="1" x14ac:dyDescent="0.3">
      <c r="A24" s="48"/>
      <c r="B24" s="48" t="s">
        <v>144</v>
      </c>
      <c r="C24" s="34" t="s">
        <v>151</v>
      </c>
      <c r="H24" s="52">
        <v>20</v>
      </c>
      <c r="I24" s="45" t="str">
        <f>Worksheet!R25</f>
        <v/>
      </c>
      <c r="J24" s="46" t="s">
        <v>143</v>
      </c>
      <c r="K24" s="46"/>
      <c r="L24" s="46" t="str">
        <f t="shared" si="0"/>
        <v/>
      </c>
      <c r="M24" s="46"/>
      <c r="N24" s="47"/>
    </row>
    <row r="25" spans="1:14" ht="15.75" thickBot="1" x14ac:dyDescent="0.3">
      <c r="A25" s="41"/>
      <c r="B25" s="42"/>
      <c r="C25" s="42"/>
      <c r="D25" s="42"/>
      <c r="E25" s="42" t="s">
        <v>145</v>
      </c>
      <c r="F25" s="49" t="s">
        <v>146</v>
      </c>
      <c r="H25" s="52">
        <v>21</v>
      </c>
      <c r="I25" s="45" t="str">
        <f>Worksheet!R26</f>
        <v/>
      </c>
      <c r="J25" s="46" t="s">
        <v>143</v>
      </c>
      <c r="K25" s="46"/>
      <c r="L25" s="46" t="str">
        <f t="shared" si="0"/>
        <v/>
      </c>
      <c r="M25" s="46"/>
      <c r="N25" s="47"/>
    </row>
    <row r="26" spans="1:14" ht="15.75" thickBot="1" x14ac:dyDescent="0.3">
      <c r="A26" s="50" t="s">
        <v>147</v>
      </c>
      <c r="B26">
        <v>0.1</v>
      </c>
      <c r="E26">
        <v>4</v>
      </c>
      <c r="F26" s="51"/>
      <c r="H26" s="52">
        <v>22</v>
      </c>
      <c r="I26" s="45" t="str">
        <f>Worksheet!R27</f>
        <v/>
      </c>
      <c r="J26" s="46" t="s">
        <v>143</v>
      </c>
      <c r="K26" s="46"/>
      <c r="L26" s="46" t="str">
        <f t="shared" si="0"/>
        <v/>
      </c>
      <c r="M26" s="46"/>
      <c r="N26" s="47"/>
    </row>
    <row r="27" spans="1:14" ht="15.75" thickBot="1" x14ac:dyDescent="0.3">
      <c r="A27" s="50" t="s">
        <v>148</v>
      </c>
      <c r="B27">
        <v>0.1</v>
      </c>
      <c r="C27" t="s">
        <v>149</v>
      </c>
      <c r="D27">
        <v>4</v>
      </c>
      <c r="E27">
        <v>2</v>
      </c>
      <c r="F27" s="51">
        <v>1.4</v>
      </c>
      <c r="H27" s="52">
        <v>23</v>
      </c>
      <c r="I27" s="45" t="str">
        <f>Worksheet!R28</f>
        <v/>
      </c>
      <c r="J27" s="46" t="s">
        <v>143</v>
      </c>
      <c r="K27" s="46"/>
      <c r="L27" s="46" t="str">
        <f t="shared" si="0"/>
        <v/>
      </c>
      <c r="M27" s="46"/>
      <c r="N27" s="47"/>
    </row>
    <row r="28" spans="1:14" ht="15.75" thickBot="1" x14ac:dyDescent="0.3">
      <c r="A28" s="45" t="s">
        <v>150</v>
      </c>
      <c r="B28" s="46">
        <v>4</v>
      </c>
      <c r="C28" s="46" t="s">
        <v>149</v>
      </c>
      <c r="D28" s="46">
        <v>20</v>
      </c>
      <c r="E28" s="46">
        <v>4.3</v>
      </c>
      <c r="F28" s="47">
        <v>1.4</v>
      </c>
      <c r="H28" s="52">
        <v>24</v>
      </c>
      <c r="I28" s="45" t="str">
        <f>Worksheet!R29</f>
        <v/>
      </c>
      <c r="J28" s="46" t="s">
        <v>143</v>
      </c>
      <c r="K28" s="46"/>
      <c r="L28" s="46" t="str">
        <f t="shared" si="0"/>
        <v/>
      </c>
      <c r="M28" s="46"/>
      <c r="N28" s="47"/>
    </row>
    <row r="29" spans="1:14" ht="15.75" thickBot="1" x14ac:dyDescent="0.3">
      <c r="H29" s="52">
        <v>25</v>
      </c>
      <c r="I29" s="45" t="str">
        <f>Worksheet!R30</f>
        <v/>
      </c>
      <c r="J29" s="46" t="s">
        <v>143</v>
      </c>
      <c r="K29" s="46"/>
      <c r="L29" s="46" t="str">
        <f t="shared" si="0"/>
        <v/>
      </c>
      <c r="M29" s="46"/>
      <c r="N29" s="47"/>
    </row>
    <row r="30" spans="1:14" ht="15.75" thickBot="1" x14ac:dyDescent="0.3">
      <c r="H30" s="52">
        <v>26</v>
      </c>
      <c r="I30" s="45" t="str">
        <f>Worksheet!R31</f>
        <v/>
      </c>
      <c r="J30" s="46" t="s">
        <v>143</v>
      </c>
      <c r="K30" s="46"/>
      <c r="L30" s="46" t="str">
        <f t="shared" si="0"/>
        <v/>
      </c>
      <c r="M30" s="46"/>
      <c r="N30" s="47"/>
    </row>
    <row r="31" spans="1:14" ht="15.75" thickBot="1" x14ac:dyDescent="0.3">
      <c r="H31" s="52">
        <v>27</v>
      </c>
      <c r="I31" s="45" t="str">
        <f>Worksheet!R32</f>
        <v/>
      </c>
      <c r="J31" s="46" t="s">
        <v>143</v>
      </c>
      <c r="K31" s="46"/>
      <c r="L31" s="46" t="str">
        <f t="shared" si="0"/>
        <v/>
      </c>
      <c r="M31" s="46"/>
      <c r="N31" s="47"/>
    </row>
    <row r="32" spans="1:14" ht="15.75" thickBot="1" x14ac:dyDescent="0.3">
      <c r="H32" s="52">
        <v>28</v>
      </c>
      <c r="I32" s="45" t="str">
        <f>Worksheet!R33</f>
        <v/>
      </c>
      <c r="J32" s="46" t="s">
        <v>143</v>
      </c>
      <c r="K32" s="46"/>
      <c r="L32" s="46" t="str">
        <f t="shared" si="0"/>
        <v/>
      </c>
      <c r="M32" s="46"/>
      <c r="N32" s="47"/>
    </row>
    <row r="33" spans="8:14" ht="15.75" thickBot="1" x14ac:dyDescent="0.3">
      <c r="H33" s="52">
        <v>29</v>
      </c>
      <c r="I33" s="45" t="str">
        <f>Worksheet!R34</f>
        <v/>
      </c>
      <c r="J33" s="46" t="s">
        <v>143</v>
      </c>
      <c r="K33" s="46"/>
      <c r="L33" s="46" t="str">
        <f t="shared" si="0"/>
        <v/>
      </c>
      <c r="M33" s="46"/>
      <c r="N33" s="47"/>
    </row>
    <row r="34" spans="8:14" ht="15.75" thickBot="1" x14ac:dyDescent="0.3">
      <c r="H34" s="52">
        <v>30</v>
      </c>
      <c r="I34" s="45" t="str">
        <f>Worksheet!R35</f>
        <v/>
      </c>
      <c r="J34" s="46" t="s">
        <v>143</v>
      </c>
      <c r="K34" s="46"/>
      <c r="L34" s="46" t="str">
        <f t="shared" si="0"/>
        <v/>
      </c>
      <c r="M34" s="46"/>
      <c r="N34" s="47"/>
    </row>
    <row r="35" spans="8:14" ht="15.75" thickBot="1" x14ac:dyDescent="0.3">
      <c r="H35" s="52">
        <v>31</v>
      </c>
      <c r="I35" s="45" t="str">
        <f>Worksheet!R36</f>
        <v/>
      </c>
      <c r="J35" s="46" t="s">
        <v>143</v>
      </c>
      <c r="K35" s="46"/>
      <c r="L35" s="46" t="str">
        <f t="shared" si="0"/>
        <v/>
      </c>
      <c r="M35" s="46"/>
      <c r="N35" s="47"/>
    </row>
    <row r="36" spans="8:14" ht="15.75" thickBot="1" x14ac:dyDescent="0.3">
      <c r="H36" s="52">
        <v>32</v>
      </c>
      <c r="I36" s="45" t="str">
        <f>Worksheet!R37</f>
        <v/>
      </c>
      <c r="J36" s="46" t="s">
        <v>143</v>
      </c>
      <c r="K36" s="46"/>
      <c r="L36" s="46" t="str">
        <f t="shared" si="0"/>
        <v/>
      </c>
      <c r="M36" s="46"/>
      <c r="N36" s="47"/>
    </row>
    <row r="37" spans="8:14" ht="15.75" thickBot="1" x14ac:dyDescent="0.3">
      <c r="H37" s="52">
        <v>33</v>
      </c>
      <c r="I37" s="45" t="str">
        <f>Worksheet!R38</f>
        <v/>
      </c>
      <c r="J37" s="46" t="s">
        <v>143</v>
      </c>
      <c r="K37" s="46"/>
      <c r="L37" s="46" t="str">
        <f t="shared" si="0"/>
        <v/>
      </c>
      <c r="M37" s="46"/>
      <c r="N37" s="47"/>
    </row>
    <row r="38" spans="8:14" ht="15.75" thickBot="1" x14ac:dyDescent="0.3">
      <c r="H38" s="52">
        <v>34</v>
      </c>
      <c r="I38" s="45" t="str">
        <f>Worksheet!R39</f>
        <v/>
      </c>
      <c r="J38" s="46" t="s">
        <v>143</v>
      </c>
      <c r="K38" s="46"/>
      <c r="L38" s="46" t="str">
        <f t="shared" si="0"/>
        <v/>
      </c>
      <c r="M38" s="46"/>
      <c r="N38" s="47"/>
    </row>
    <row r="39" spans="8:14" ht="15.75" thickBot="1" x14ac:dyDescent="0.3">
      <c r="H39" s="52">
        <v>35</v>
      </c>
      <c r="I39" s="45" t="str">
        <f>Worksheet!R40</f>
        <v/>
      </c>
      <c r="J39" s="46" t="s">
        <v>143</v>
      </c>
      <c r="K39" s="46"/>
      <c r="L39" s="46" t="str">
        <f t="shared" si="0"/>
        <v/>
      </c>
      <c r="M39" s="46"/>
      <c r="N39" s="47"/>
    </row>
    <row r="40" spans="8:14" ht="15.75" thickBot="1" x14ac:dyDescent="0.3">
      <c r="H40" s="52">
        <v>36</v>
      </c>
      <c r="I40" s="45" t="str">
        <f>Worksheet!R41</f>
        <v/>
      </c>
      <c r="J40" s="46" t="s">
        <v>143</v>
      </c>
      <c r="K40" s="46"/>
      <c r="L40" s="46" t="str">
        <f t="shared" si="0"/>
        <v/>
      </c>
      <c r="M40" s="46"/>
      <c r="N40" s="47"/>
    </row>
    <row r="41" spans="8:14" ht="15.75" thickBot="1" x14ac:dyDescent="0.3">
      <c r="H41" s="52">
        <v>37</v>
      </c>
      <c r="I41" s="45" t="str">
        <f>Worksheet!R42</f>
        <v/>
      </c>
      <c r="J41" s="46" t="s">
        <v>143</v>
      </c>
      <c r="K41" s="46"/>
      <c r="L41" s="46" t="str">
        <f t="shared" si="0"/>
        <v/>
      </c>
      <c r="M41" s="46"/>
      <c r="N41" s="47"/>
    </row>
    <row r="42" spans="8:14" ht="15.75" thickBot="1" x14ac:dyDescent="0.3">
      <c r="H42" s="52">
        <v>38</v>
      </c>
      <c r="I42" s="45" t="str">
        <f>Worksheet!R43</f>
        <v/>
      </c>
      <c r="J42" s="46" t="s">
        <v>143</v>
      </c>
      <c r="K42" s="46"/>
      <c r="L42" s="46" t="str">
        <f t="shared" si="0"/>
        <v/>
      </c>
      <c r="M42" s="46"/>
      <c r="N42" s="47"/>
    </row>
    <row r="43" spans="8:14" ht="15.75" thickBot="1" x14ac:dyDescent="0.3">
      <c r="H43" s="52">
        <v>39</v>
      </c>
      <c r="I43" s="45" t="str">
        <f>Worksheet!R44</f>
        <v/>
      </c>
      <c r="J43" s="46" t="s">
        <v>143</v>
      </c>
      <c r="K43" s="46"/>
      <c r="L43" s="46" t="str">
        <f t="shared" si="0"/>
        <v/>
      </c>
      <c r="M43" s="46"/>
      <c r="N43" s="47"/>
    </row>
    <row r="44" spans="8:14" ht="15.75" thickBot="1" x14ac:dyDescent="0.3">
      <c r="H44" s="52">
        <v>40</v>
      </c>
      <c r="I44" s="45" t="str">
        <f>Worksheet!R45</f>
        <v/>
      </c>
      <c r="J44" s="46" t="s">
        <v>143</v>
      </c>
      <c r="K44" s="46"/>
      <c r="L44" s="46" t="str">
        <f t="shared" si="0"/>
        <v/>
      </c>
      <c r="M44" s="46"/>
      <c r="N44" s="47"/>
    </row>
    <row r="45" spans="8:14" ht="15.75" thickBot="1" x14ac:dyDescent="0.3">
      <c r="H45" s="52">
        <v>41</v>
      </c>
      <c r="I45" s="45" t="str">
        <f>Worksheet!R46</f>
        <v/>
      </c>
      <c r="J45" s="46" t="s">
        <v>143</v>
      </c>
      <c r="K45" s="46"/>
      <c r="L45" s="46" t="str">
        <f t="shared" si="0"/>
        <v/>
      </c>
      <c r="M45" s="46"/>
      <c r="N45" s="47"/>
    </row>
    <row r="46" spans="8:14" ht="15.75" thickBot="1" x14ac:dyDescent="0.3">
      <c r="H46" s="52">
        <v>42</v>
      </c>
      <c r="I46" s="45" t="str">
        <f>Worksheet!R47</f>
        <v/>
      </c>
      <c r="J46" s="46" t="s">
        <v>143</v>
      </c>
      <c r="K46" s="46"/>
      <c r="L46" s="46" t="str">
        <f t="shared" si="0"/>
        <v/>
      </c>
      <c r="M46" s="46"/>
      <c r="N46" s="47"/>
    </row>
    <row r="47" spans="8:14" ht="15.75" thickBot="1" x14ac:dyDescent="0.3">
      <c r="H47" s="52">
        <v>43</v>
      </c>
      <c r="I47" s="45" t="str">
        <f>Worksheet!R48</f>
        <v/>
      </c>
      <c r="J47" s="46" t="s">
        <v>143</v>
      </c>
      <c r="K47" s="46"/>
      <c r="L47" s="46" t="str">
        <f t="shared" si="0"/>
        <v/>
      </c>
      <c r="M47" s="46"/>
      <c r="N47" s="47"/>
    </row>
    <row r="48" spans="8:14" ht="15.75" thickBot="1" x14ac:dyDescent="0.3">
      <c r="H48" s="52">
        <v>44</v>
      </c>
      <c r="I48" s="45" t="str">
        <f>Worksheet!R49</f>
        <v/>
      </c>
      <c r="J48" s="46" t="s">
        <v>143</v>
      </c>
      <c r="K48" s="46"/>
      <c r="L48" s="46" t="str">
        <f t="shared" si="0"/>
        <v/>
      </c>
      <c r="M48" s="46"/>
      <c r="N48" s="47"/>
    </row>
    <row r="49" spans="8:14" ht="15.75" thickBot="1" x14ac:dyDescent="0.3">
      <c r="H49" s="52">
        <v>45</v>
      </c>
      <c r="I49" s="45" t="str">
        <f>Worksheet!R50</f>
        <v/>
      </c>
      <c r="J49" s="46" t="s">
        <v>143</v>
      </c>
      <c r="K49" s="46"/>
      <c r="L49" s="46" t="str">
        <f t="shared" si="0"/>
        <v/>
      </c>
      <c r="M49" s="46"/>
      <c r="N49" s="47"/>
    </row>
    <row r="50" spans="8:14" ht="15.75" thickBot="1" x14ac:dyDescent="0.3">
      <c r="H50" s="52">
        <v>46</v>
      </c>
      <c r="I50" s="45" t="str">
        <f>Worksheet!R51</f>
        <v/>
      </c>
      <c r="J50" s="46" t="s">
        <v>143</v>
      </c>
      <c r="K50" s="46"/>
      <c r="L50" s="46" t="str">
        <f t="shared" si="0"/>
        <v/>
      </c>
      <c r="M50" s="46"/>
      <c r="N50" s="47"/>
    </row>
    <row r="51" spans="8:14" ht="15.75" thickBot="1" x14ac:dyDescent="0.3">
      <c r="H51" s="52">
        <v>47</v>
      </c>
      <c r="I51" s="45" t="str">
        <f>Worksheet!R52</f>
        <v/>
      </c>
      <c r="J51" s="46" t="s">
        <v>143</v>
      </c>
      <c r="K51" s="46"/>
      <c r="L51" s="46" t="str">
        <f t="shared" si="0"/>
        <v/>
      </c>
      <c r="M51" s="46"/>
      <c r="N51" s="47"/>
    </row>
    <row r="52" spans="8:14" ht="15.75" thickBot="1" x14ac:dyDescent="0.3">
      <c r="H52" s="52">
        <v>48</v>
      </c>
      <c r="I52" s="45" t="str">
        <f>Worksheet!R53</f>
        <v/>
      </c>
      <c r="J52" s="46" t="s">
        <v>143</v>
      </c>
      <c r="K52" s="46"/>
      <c r="L52" s="46" t="str">
        <f t="shared" si="0"/>
        <v/>
      </c>
      <c r="M52" s="46"/>
      <c r="N52" s="47"/>
    </row>
    <row r="53" spans="8:14" ht="15.75" thickBot="1" x14ac:dyDescent="0.3">
      <c r="H53" s="52">
        <v>49</v>
      </c>
      <c r="I53" s="45" t="str">
        <f>Worksheet!R54</f>
        <v/>
      </c>
      <c r="J53" s="46" t="s">
        <v>143</v>
      </c>
      <c r="K53" s="46"/>
      <c r="L53" s="46" t="str">
        <f t="shared" si="0"/>
        <v/>
      </c>
      <c r="M53" s="46"/>
      <c r="N53" s="47"/>
    </row>
    <row r="54" spans="8:14" ht="15.75" thickBot="1" x14ac:dyDescent="0.3">
      <c r="H54" s="52">
        <v>50</v>
      </c>
      <c r="I54" s="45" t="str">
        <f>Worksheet!R55</f>
        <v/>
      </c>
      <c r="J54" s="46" t="s">
        <v>143</v>
      </c>
      <c r="K54" s="46"/>
      <c r="L54" s="46" t="str">
        <f t="shared" si="0"/>
        <v/>
      </c>
      <c r="M54" s="46"/>
      <c r="N54" s="47"/>
    </row>
    <row r="55" spans="8:14" ht="15.75" thickBot="1" x14ac:dyDescent="0.3">
      <c r="H55" s="52">
        <v>51</v>
      </c>
      <c r="I55" s="45" t="str">
        <f>Worksheet!R56</f>
        <v/>
      </c>
      <c r="J55" s="46" t="s">
        <v>143</v>
      </c>
      <c r="K55" s="46"/>
      <c r="L55" s="46" t="str">
        <f t="shared" si="0"/>
        <v/>
      </c>
      <c r="M55" s="46"/>
      <c r="N55" s="47"/>
    </row>
    <row r="56" spans="8:14" ht="15.75" thickBot="1" x14ac:dyDescent="0.3">
      <c r="H56" s="52">
        <v>52</v>
      </c>
      <c r="I56" s="45" t="str">
        <f>Worksheet!R57</f>
        <v/>
      </c>
      <c r="J56" s="46" t="s">
        <v>143</v>
      </c>
      <c r="K56" s="46"/>
      <c r="L56" s="46" t="str">
        <f t="shared" si="0"/>
        <v/>
      </c>
      <c r="M56" s="46"/>
      <c r="N56" s="47"/>
    </row>
    <row r="57" spans="8:14" ht="15.75" thickBot="1" x14ac:dyDescent="0.3">
      <c r="H57" s="52">
        <v>53</v>
      </c>
      <c r="I57" s="45" t="str">
        <f>Worksheet!R58</f>
        <v/>
      </c>
      <c r="J57" s="46" t="s">
        <v>143</v>
      </c>
      <c r="K57" s="46"/>
      <c r="L57" s="46" t="str">
        <f t="shared" si="0"/>
        <v/>
      </c>
      <c r="M57" s="46"/>
      <c r="N57" s="47"/>
    </row>
    <row r="58" spans="8:14" ht="15.75" thickBot="1" x14ac:dyDescent="0.3">
      <c r="H58" s="52">
        <v>54</v>
      </c>
      <c r="I58" s="45" t="str">
        <f>Worksheet!R59</f>
        <v/>
      </c>
      <c r="J58" s="46" t="s">
        <v>143</v>
      </c>
      <c r="K58" s="46"/>
      <c r="L58" s="46" t="str">
        <f t="shared" si="0"/>
        <v/>
      </c>
      <c r="M58" s="46"/>
      <c r="N58" s="47"/>
    </row>
    <row r="59" spans="8:14" ht="15.75" thickBot="1" x14ac:dyDescent="0.3">
      <c r="H59" s="52">
        <v>55</v>
      </c>
      <c r="I59" s="45" t="str">
        <f>Worksheet!R60</f>
        <v/>
      </c>
      <c r="J59" s="46" t="s">
        <v>143</v>
      </c>
      <c r="K59" s="46"/>
      <c r="L59" s="46" t="str">
        <f t="shared" si="0"/>
        <v/>
      </c>
      <c r="M59" s="46"/>
      <c r="N59" s="47"/>
    </row>
    <row r="60" spans="8:14" ht="15.75" thickBot="1" x14ac:dyDescent="0.3">
      <c r="H60" s="52">
        <v>56</v>
      </c>
      <c r="I60" s="45" t="str">
        <f>Worksheet!R61</f>
        <v/>
      </c>
      <c r="J60" s="46" t="s">
        <v>143</v>
      </c>
      <c r="K60" s="46"/>
      <c r="L60" s="46" t="str">
        <f t="shared" si="0"/>
        <v/>
      </c>
      <c r="M60" s="46"/>
      <c r="N60" s="47"/>
    </row>
    <row r="61" spans="8:14" ht="15.75" thickBot="1" x14ac:dyDescent="0.3">
      <c r="H61" s="52">
        <v>57</v>
      </c>
      <c r="I61" s="45" t="str">
        <f>Worksheet!R62</f>
        <v/>
      </c>
      <c r="J61" s="46" t="s">
        <v>143</v>
      </c>
      <c r="K61" s="46"/>
      <c r="L61" s="46" t="str">
        <f t="shared" si="0"/>
        <v/>
      </c>
      <c r="M61" s="46"/>
      <c r="N61" s="47"/>
    </row>
    <row r="62" spans="8:14" ht="15.75" thickBot="1" x14ac:dyDescent="0.3">
      <c r="H62" s="52">
        <v>58</v>
      </c>
      <c r="I62" s="45" t="str">
        <f>Worksheet!R63</f>
        <v/>
      </c>
      <c r="J62" s="46" t="s">
        <v>143</v>
      </c>
      <c r="K62" s="46"/>
      <c r="L62" s="46" t="str">
        <f t="shared" si="0"/>
        <v/>
      </c>
      <c r="M62" s="46"/>
      <c r="N62" s="47"/>
    </row>
    <row r="63" spans="8:14" ht="15.75" thickBot="1" x14ac:dyDescent="0.3">
      <c r="H63" s="52">
        <v>59</v>
      </c>
      <c r="I63" s="45" t="str">
        <f>Worksheet!R64</f>
        <v/>
      </c>
      <c r="J63" s="46" t="s">
        <v>143</v>
      </c>
      <c r="K63" s="46"/>
      <c r="L63" s="46" t="str">
        <f t="shared" si="0"/>
        <v/>
      </c>
      <c r="M63" s="46"/>
      <c r="N63" s="47"/>
    </row>
    <row r="64" spans="8:14" ht="15.75" thickBot="1" x14ac:dyDescent="0.3">
      <c r="H64" s="52">
        <v>60</v>
      </c>
      <c r="I64" s="45" t="str">
        <f>Worksheet!R65</f>
        <v/>
      </c>
      <c r="J64" s="46" t="s">
        <v>143</v>
      </c>
      <c r="K64" s="46"/>
      <c r="L64" s="46" t="str">
        <f t="shared" si="0"/>
        <v/>
      </c>
      <c r="M64" s="46"/>
      <c r="N64" s="47"/>
    </row>
    <row r="65" spans="8:14" ht="15.75" thickBot="1" x14ac:dyDescent="0.3">
      <c r="H65" s="52">
        <v>61</v>
      </c>
      <c r="I65" s="45" t="str">
        <f>Worksheet!R66</f>
        <v/>
      </c>
      <c r="J65" s="46" t="s">
        <v>143</v>
      </c>
      <c r="K65" s="46"/>
      <c r="L65" s="46" t="str">
        <f t="shared" si="0"/>
        <v/>
      </c>
      <c r="M65" s="46"/>
      <c r="N65" s="47"/>
    </row>
    <row r="66" spans="8:14" ht="15.75" thickBot="1" x14ac:dyDescent="0.3">
      <c r="H66" s="52">
        <v>62</v>
      </c>
      <c r="I66" s="45" t="str">
        <f>Worksheet!R67</f>
        <v/>
      </c>
      <c r="J66" s="46" t="s">
        <v>143</v>
      </c>
      <c r="K66" s="46"/>
      <c r="L66" s="46" t="str">
        <f t="shared" si="0"/>
        <v/>
      </c>
      <c r="M66" s="46"/>
      <c r="N66" s="47"/>
    </row>
    <row r="67" spans="8:14" ht="15.75" thickBot="1" x14ac:dyDescent="0.3">
      <c r="H67" s="52">
        <v>63</v>
      </c>
      <c r="I67" s="45" t="str">
        <f>Worksheet!R68</f>
        <v/>
      </c>
      <c r="J67" s="46" t="s">
        <v>143</v>
      </c>
      <c r="K67" s="46"/>
      <c r="L67" s="46" t="str">
        <f t="shared" si="0"/>
        <v/>
      </c>
      <c r="M67" s="46"/>
      <c r="N67" s="47"/>
    </row>
    <row r="68" spans="8:14" ht="15.75" thickBot="1" x14ac:dyDescent="0.3">
      <c r="H68" s="52">
        <v>64</v>
      </c>
      <c r="I68" s="45" t="str">
        <f>Worksheet!R69</f>
        <v/>
      </c>
      <c r="J68" s="46" t="s">
        <v>143</v>
      </c>
      <c r="K68" s="46"/>
      <c r="L68" s="46" t="str">
        <f t="shared" si="0"/>
        <v/>
      </c>
      <c r="M68" s="46"/>
      <c r="N68" s="47"/>
    </row>
    <row r="69" spans="8:14" ht="15.75" thickBot="1" x14ac:dyDescent="0.3">
      <c r="H69" s="52">
        <v>65</v>
      </c>
      <c r="I69" s="45" t="str">
        <f>Worksheet!R70</f>
        <v/>
      </c>
      <c r="J69" s="46" t="s">
        <v>143</v>
      </c>
      <c r="K69" s="46"/>
      <c r="L69" s="46" t="str">
        <f t="shared" si="0"/>
        <v/>
      </c>
      <c r="M69" s="46"/>
      <c r="N69" s="47"/>
    </row>
    <row r="70" spans="8:14" ht="15.75" thickBot="1" x14ac:dyDescent="0.3">
      <c r="H70" s="52">
        <v>66</v>
      </c>
      <c r="I70" s="45" t="str">
        <f>Worksheet!R71</f>
        <v/>
      </c>
      <c r="J70" s="46" t="s">
        <v>143</v>
      </c>
      <c r="K70" s="46"/>
      <c r="L70" s="46" t="str">
        <f t="shared" ref="L70:L133" si="1">IF(I70&lt;$B$8,$E$8,IF(AND(I70&gt;=$B$9,I70&lt;=$D$9),($F$9*I70)+$E$9,IF(AND(I70&gt;$B$10,I70&lt;=$D$10),($F$10*I70)+$E$10,"")))</f>
        <v/>
      </c>
      <c r="M70" s="46"/>
      <c r="N70" s="47"/>
    </row>
    <row r="71" spans="8:14" ht="15.75" thickBot="1" x14ac:dyDescent="0.3">
      <c r="H71" s="52">
        <v>67</v>
      </c>
      <c r="I71" s="45" t="str">
        <f>Worksheet!R72</f>
        <v/>
      </c>
      <c r="J71" s="46" t="s">
        <v>143</v>
      </c>
      <c r="K71" s="46"/>
      <c r="L71" s="46" t="str">
        <f t="shared" si="1"/>
        <v/>
      </c>
      <c r="M71" s="46"/>
      <c r="N71" s="47"/>
    </row>
    <row r="72" spans="8:14" ht="15.75" thickBot="1" x14ac:dyDescent="0.3">
      <c r="H72" s="52">
        <v>68</v>
      </c>
      <c r="I72" s="45" t="str">
        <f>Worksheet!R73</f>
        <v/>
      </c>
      <c r="J72" s="46" t="s">
        <v>143</v>
      </c>
      <c r="K72" s="46"/>
      <c r="L72" s="46" t="str">
        <f t="shared" si="1"/>
        <v/>
      </c>
      <c r="M72" s="46"/>
      <c r="N72" s="47"/>
    </row>
    <row r="73" spans="8:14" ht="15.75" thickBot="1" x14ac:dyDescent="0.3">
      <c r="H73" s="52">
        <v>69</v>
      </c>
      <c r="I73" s="45" t="str">
        <f>Worksheet!R74</f>
        <v/>
      </c>
      <c r="J73" s="46" t="s">
        <v>143</v>
      </c>
      <c r="K73" s="46"/>
      <c r="L73" s="46" t="str">
        <f t="shared" si="1"/>
        <v/>
      </c>
      <c r="M73" s="46"/>
      <c r="N73" s="47"/>
    </row>
    <row r="74" spans="8:14" ht="15.75" thickBot="1" x14ac:dyDescent="0.3">
      <c r="H74" s="52">
        <v>70</v>
      </c>
      <c r="I74" s="45" t="str">
        <f>Worksheet!R75</f>
        <v/>
      </c>
      <c r="J74" s="46" t="s">
        <v>143</v>
      </c>
      <c r="K74" s="46"/>
      <c r="L74" s="46" t="str">
        <f t="shared" si="1"/>
        <v/>
      </c>
      <c r="M74" s="46"/>
      <c r="N74" s="47"/>
    </row>
    <row r="75" spans="8:14" ht="15.75" thickBot="1" x14ac:dyDescent="0.3">
      <c r="H75" s="52">
        <v>71</v>
      </c>
      <c r="I75" s="45" t="str">
        <f>Worksheet!R76</f>
        <v/>
      </c>
      <c r="J75" s="46" t="s">
        <v>143</v>
      </c>
      <c r="K75" s="46"/>
      <c r="L75" s="46" t="str">
        <f t="shared" si="1"/>
        <v/>
      </c>
      <c r="M75" s="46"/>
      <c r="N75" s="47"/>
    </row>
    <row r="76" spans="8:14" ht="15.75" thickBot="1" x14ac:dyDescent="0.3">
      <c r="H76" s="52">
        <v>72</v>
      </c>
      <c r="I76" s="45" t="str">
        <f>Worksheet!R77</f>
        <v/>
      </c>
      <c r="J76" s="46" t="s">
        <v>143</v>
      </c>
      <c r="K76" s="46"/>
      <c r="L76" s="46" t="str">
        <f t="shared" si="1"/>
        <v/>
      </c>
      <c r="M76" s="46"/>
      <c r="N76" s="47"/>
    </row>
    <row r="77" spans="8:14" ht="15.75" thickBot="1" x14ac:dyDescent="0.3">
      <c r="H77" s="52">
        <v>73</v>
      </c>
      <c r="I77" s="45" t="str">
        <f>Worksheet!R78</f>
        <v/>
      </c>
      <c r="J77" s="46" t="s">
        <v>143</v>
      </c>
      <c r="K77" s="46"/>
      <c r="L77" s="46" t="str">
        <f t="shared" si="1"/>
        <v/>
      </c>
      <c r="M77" s="46"/>
      <c r="N77" s="47"/>
    </row>
    <row r="78" spans="8:14" ht="15.75" thickBot="1" x14ac:dyDescent="0.3">
      <c r="H78" s="52">
        <v>74</v>
      </c>
      <c r="I78" s="45" t="str">
        <f>Worksheet!R79</f>
        <v/>
      </c>
      <c r="J78" s="46" t="s">
        <v>143</v>
      </c>
      <c r="K78" s="46"/>
      <c r="L78" s="46" t="str">
        <f t="shared" si="1"/>
        <v/>
      </c>
      <c r="M78" s="46"/>
      <c r="N78" s="47"/>
    </row>
    <row r="79" spans="8:14" ht="15.75" thickBot="1" x14ac:dyDescent="0.3">
      <c r="H79" s="52">
        <v>75</v>
      </c>
      <c r="I79" s="45" t="str">
        <f>Worksheet!R80</f>
        <v/>
      </c>
      <c r="J79" s="46" t="s">
        <v>143</v>
      </c>
      <c r="K79" s="46"/>
      <c r="L79" s="46" t="str">
        <f t="shared" si="1"/>
        <v/>
      </c>
      <c r="M79" s="46"/>
      <c r="N79" s="47"/>
    </row>
    <row r="80" spans="8:14" ht="15.75" thickBot="1" x14ac:dyDescent="0.3">
      <c r="H80" s="52">
        <v>76</v>
      </c>
      <c r="I80" s="45" t="str">
        <f>Worksheet!R81</f>
        <v/>
      </c>
      <c r="J80" s="46" t="s">
        <v>143</v>
      </c>
      <c r="K80" s="46"/>
      <c r="L80" s="46" t="str">
        <f t="shared" si="1"/>
        <v/>
      </c>
      <c r="M80" s="46"/>
      <c r="N80" s="47"/>
    </row>
    <row r="81" spans="8:14" ht="15.75" thickBot="1" x14ac:dyDescent="0.3">
      <c r="H81" s="52">
        <v>77</v>
      </c>
      <c r="I81" s="45" t="str">
        <f>Worksheet!R82</f>
        <v/>
      </c>
      <c r="J81" s="46" t="s">
        <v>143</v>
      </c>
      <c r="K81" s="46"/>
      <c r="L81" s="46" t="str">
        <f t="shared" si="1"/>
        <v/>
      </c>
      <c r="M81" s="46"/>
      <c r="N81" s="47"/>
    </row>
    <row r="82" spans="8:14" ht="15.75" thickBot="1" x14ac:dyDescent="0.3">
      <c r="H82" s="52">
        <v>78</v>
      </c>
      <c r="I82" s="45" t="str">
        <f>Worksheet!R83</f>
        <v/>
      </c>
      <c r="J82" s="46" t="s">
        <v>143</v>
      </c>
      <c r="K82" s="46"/>
      <c r="L82" s="46" t="str">
        <f t="shared" si="1"/>
        <v/>
      </c>
      <c r="M82" s="46"/>
      <c r="N82" s="47"/>
    </row>
    <row r="83" spans="8:14" ht="15.75" thickBot="1" x14ac:dyDescent="0.3">
      <c r="H83" s="52">
        <v>79</v>
      </c>
      <c r="I83" s="45" t="str">
        <f>Worksheet!R84</f>
        <v/>
      </c>
      <c r="J83" s="46" t="s">
        <v>143</v>
      </c>
      <c r="K83" s="46"/>
      <c r="L83" s="46" t="str">
        <f t="shared" si="1"/>
        <v/>
      </c>
      <c r="M83" s="46"/>
      <c r="N83" s="47"/>
    </row>
    <row r="84" spans="8:14" ht="15.75" thickBot="1" x14ac:dyDescent="0.3">
      <c r="H84" s="52">
        <v>80</v>
      </c>
      <c r="I84" s="45" t="str">
        <f>Worksheet!R85</f>
        <v/>
      </c>
      <c r="J84" s="46" t="s">
        <v>143</v>
      </c>
      <c r="K84" s="46"/>
      <c r="L84" s="46" t="str">
        <f t="shared" si="1"/>
        <v/>
      </c>
      <c r="M84" s="46"/>
      <c r="N84" s="47"/>
    </row>
    <row r="85" spans="8:14" ht="15.75" thickBot="1" x14ac:dyDescent="0.3">
      <c r="H85" s="52">
        <v>81</v>
      </c>
      <c r="I85" s="45" t="str">
        <f>Worksheet!R86</f>
        <v/>
      </c>
      <c r="J85" s="46" t="s">
        <v>143</v>
      </c>
      <c r="K85" s="46"/>
      <c r="L85" s="46" t="str">
        <f t="shared" si="1"/>
        <v/>
      </c>
      <c r="M85" s="46"/>
      <c r="N85" s="47"/>
    </row>
    <row r="86" spans="8:14" ht="15.75" thickBot="1" x14ac:dyDescent="0.3">
      <c r="H86" s="52">
        <v>82</v>
      </c>
      <c r="I86" s="45" t="str">
        <f>Worksheet!R87</f>
        <v/>
      </c>
      <c r="J86" s="46" t="s">
        <v>143</v>
      </c>
      <c r="K86" s="46"/>
      <c r="L86" s="46" t="str">
        <f t="shared" si="1"/>
        <v/>
      </c>
      <c r="M86" s="46"/>
      <c r="N86" s="47"/>
    </row>
    <row r="87" spans="8:14" ht="15.75" thickBot="1" x14ac:dyDescent="0.3">
      <c r="H87" s="52">
        <v>83</v>
      </c>
      <c r="I87" s="45" t="str">
        <f>Worksheet!R88</f>
        <v/>
      </c>
      <c r="J87" s="46" t="s">
        <v>143</v>
      </c>
      <c r="K87" s="46"/>
      <c r="L87" s="46" t="str">
        <f t="shared" si="1"/>
        <v/>
      </c>
      <c r="M87" s="46"/>
      <c r="N87" s="47"/>
    </row>
    <row r="88" spans="8:14" ht="15.75" thickBot="1" x14ac:dyDescent="0.3">
      <c r="H88" s="52">
        <v>84</v>
      </c>
      <c r="I88" s="45" t="str">
        <f>Worksheet!R89</f>
        <v/>
      </c>
      <c r="J88" s="46" t="s">
        <v>143</v>
      </c>
      <c r="K88" s="46"/>
      <c r="L88" s="46" t="str">
        <f t="shared" si="1"/>
        <v/>
      </c>
      <c r="M88" s="46"/>
      <c r="N88" s="47"/>
    </row>
    <row r="89" spans="8:14" ht="15.75" thickBot="1" x14ac:dyDescent="0.3">
      <c r="H89" s="52">
        <v>85</v>
      </c>
      <c r="I89" s="45" t="str">
        <f>Worksheet!R90</f>
        <v/>
      </c>
      <c r="J89" s="46" t="s">
        <v>143</v>
      </c>
      <c r="K89" s="46"/>
      <c r="L89" s="46" t="str">
        <f t="shared" si="1"/>
        <v/>
      </c>
      <c r="M89" s="46"/>
      <c r="N89" s="47"/>
    </row>
    <row r="90" spans="8:14" ht="15.75" thickBot="1" x14ac:dyDescent="0.3">
      <c r="H90" s="52">
        <v>86</v>
      </c>
      <c r="I90" s="45">
        <f>Worksheet!R91</f>
        <v>0</v>
      </c>
      <c r="J90" s="46" t="s">
        <v>143</v>
      </c>
      <c r="K90" s="46"/>
      <c r="L90" s="46">
        <f t="shared" si="1"/>
        <v>4</v>
      </c>
      <c r="M90" s="46"/>
      <c r="N90" s="47"/>
    </row>
    <row r="91" spans="8:14" ht="15.75" thickBot="1" x14ac:dyDescent="0.3">
      <c r="H91" s="52">
        <v>87</v>
      </c>
      <c r="I91" s="45" t="str">
        <f>Worksheet!R92</f>
        <v/>
      </c>
      <c r="J91" s="46" t="s">
        <v>143</v>
      </c>
      <c r="K91" s="46"/>
      <c r="L91" s="46" t="str">
        <f t="shared" si="1"/>
        <v/>
      </c>
      <c r="M91" s="46"/>
      <c r="N91" s="47"/>
    </row>
    <row r="92" spans="8:14" ht="15.75" thickBot="1" x14ac:dyDescent="0.3">
      <c r="H92" s="52">
        <v>88</v>
      </c>
      <c r="I92" s="45" t="str">
        <f>Worksheet!R93</f>
        <v/>
      </c>
      <c r="J92" s="46" t="s">
        <v>143</v>
      </c>
      <c r="K92" s="46"/>
      <c r="L92" s="46" t="str">
        <f t="shared" si="1"/>
        <v/>
      </c>
      <c r="M92" s="46"/>
      <c r="N92" s="47"/>
    </row>
    <row r="93" spans="8:14" ht="15.75" thickBot="1" x14ac:dyDescent="0.3">
      <c r="H93" s="52">
        <v>89</v>
      </c>
      <c r="I93" s="45" t="str">
        <f>Worksheet!R94</f>
        <v/>
      </c>
      <c r="J93" s="46" t="s">
        <v>143</v>
      </c>
      <c r="K93" s="46"/>
      <c r="L93" s="46" t="str">
        <f t="shared" si="1"/>
        <v/>
      </c>
      <c r="M93" s="46"/>
      <c r="N93" s="47"/>
    </row>
    <row r="94" spans="8:14" ht="15.75" thickBot="1" x14ac:dyDescent="0.3">
      <c r="H94" s="52">
        <v>90</v>
      </c>
      <c r="I94" s="45" t="str">
        <f>Worksheet!R95</f>
        <v/>
      </c>
      <c r="J94" s="46" t="s">
        <v>143</v>
      </c>
      <c r="K94" s="46"/>
      <c r="L94" s="46" t="str">
        <f t="shared" si="1"/>
        <v/>
      </c>
      <c r="M94" s="46"/>
      <c r="N94" s="47"/>
    </row>
    <row r="95" spans="8:14" ht="15.75" thickBot="1" x14ac:dyDescent="0.3">
      <c r="H95" s="52">
        <v>91</v>
      </c>
      <c r="I95" s="45" t="str">
        <f>Worksheet!R96</f>
        <v/>
      </c>
      <c r="J95" s="46" t="s">
        <v>143</v>
      </c>
      <c r="K95" s="46"/>
      <c r="L95" s="46" t="str">
        <f t="shared" si="1"/>
        <v/>
      </c>
      <c r="M95" s="46"/>
      <c r="N95" s="47"/>
    </row>
    <row r="96" spans="8:14" ht="15.75" thickBot="1" x14ac:dyDescent="0.3">
      <c r="H96" s="52">
        <v>92</v>
      </c>
      <c r="I96" s="45" t="str">
        <f>Worksheet!R97</f>
        <v/>
      </c>
      <c r="J96" s="46" t="s">
        <v>143</v>
      </c>
      <c r="K96" s="46"/>
      <c r="L96" s="46" t="str">
        <f t="shared" si="1"/>
        <v/>
      </c>
      <c r="M96" s="46"/>
      <c r="N96" s="47"/>
    </row>
    <row r="97" spans="8:14" ht="15.75" thickBot="1" x14ac:dyDescent="0.3">
      <c r="H97" s="52">
        <v>93</v>
      </c>
      <c r="I97" s="45" t="str">
        <f>Worksheet!R98</f>
        <v/>
      </c>
      <c r="J97" s="46" t="s">
        <v>143</v>
      </c>
      <c r="K97" s="46"/>
      <c r="L97" s="46" t="str">
        <f t="shared" si="1"/>
        <v/>
      </c>
      <c r="M97" s="46"/>
      <c r="N97" s="47"/>
    </row>
    <row r="98" spans="8:14" ht="15.75" thickBot="1" x14ac:dyDescent="0.3">
      <c r="H98" s="52">
        <v>94</v>
      </c>
      <c r="I98" s="45" t="str">
        <f>Worksheet!R99</f>
        <v/>
      </c>
      <c r="J98" s="46" t="s">
        <v>143</v>
      </c>
      <c r="K98" s="46"/>
      <c r="L98" s="46" t="str">
        <f t="shared" si="1"/>
        <v/>
      </c>
      <c r="M98" s="46"/>
      <c r="N98" s="47"/>
    </row>
    <row r="99" spans="8:14" ht="15.75" thickBot="1" x14ac:dyDescent="0.3">
      <c r="H99" s="52">
        <v>95</v>
      </c>
      <c r="I99" s="45" t="str">
        <f>Worksheet!R100</f>
        <v/>
      </c>
      <c r="J99" s="46" t="s">
        <v>143</v>
      </c>
      <c r="K99" s="46"/>
      <c r="L99" s="46" t="str">
        <f t="shared" si="1"/>
        <v/>
      </c>
      <c r="M99" s="46"/>
      <c r="N99" s="47"/>
    </row>
    <row r="100" spans="8:14" ht="15.75" thickBot="1" x14ac:dyDescent="0.3">
      <c r="H100" s="52">
        <v>96</v>
      </c>
      <c r="I100" s="45" t="str">
        <f>Worksheet!R101</f>
        <v/>
      </c>
      <c r="J100" s="46" t="s">
        <v>143</v>
      </c>
      <c r="K100" s="46"/>
      <c r="L100" s="46" t="str">
        <f t="shared" si="1"/>
        <v/>
      </c>
      <c r="M100" s="46"/>
      <c r="N100" s="47"/>
    </row>
    <row r="101" spans="8:14" ht="15.75" thickBot="1" x14ac:dyDescent="0.3">
      <c r="H101" s="52">
        <v>97</v>
      </c>
      <c r="I101" s="45" t="str">
        <f>Worksheet!R102</f>
        <v/>
      </c>
      <c r="J101" s="46" t="s">
        <v>143</v>
      </c>
      <c r="K101" s="46"/>
      <c r="L101" s="46" t="str">
        <f t="shared" si="1"/>
        <v/>
      </c>
      <c r="M101" s="46"/>
      <c r="N101" s="47"/>
    </row>
    <row r="102" spans="8:14" ht="15.75" thickBot="1" x14ac:dyDescent="0.3">
      <c r="H102" s="52">
        <v>98</v>
      </c>
      <c r="I102" s="45" t="str">
        <f>Worksheet!R103</f>
        <v/>
      </c>
      <c r="J102" s="46" t="s">
        <v>143</v>
      </c>
      <c r="K102" s="46"/>
      <c r="L102" s="46" t="str">
        <f t="shared" si="1"/>
        <v/>
      </c>
      <c r="M102" s="46"/>
      <c r="N102" s="47"/>
    </row>
    <row r="103" spans="8:14" ht="15.75" thickBot="1" x14ac:dyDescent="0.3">
      <c r="H103" s="52">
        <v>99</v>
      </c>
      <c r="I103" s="45" t="str">
        <f>Worksheet!R104</f>
        <v/>
      </c>
      <c r="J103" s="46" t="s">
        <v>143</v>
      </c>
      <c r="K103" s="46"/>
      <c r="L103" s="46" t="str">
        <f t="shared" si="1"/>
        <v/>
      </c>
      <c r="M103" s="46"/>
      <c r="N103" s="47"/>
    </row>
    <row r="104" spans="8:14" ht="15.75" thickBot="1" x14ac:dyDescent="0.3">
      <c r="H104" s="52">
        <v>100</v>
      </c>
      <c r="I104" s="45" t="str">
        <f>Worksheet!R105</f>
        <v/>
      </c>
      <c r="J104" s="46" t="s">
        <v>143</v>
      </c>
      <c r="K104" s="46"/>
      <c r="L104" s="46" t="str">
        <f t="shared" si="1"/>
        <v/>
      </c>
      <c r="M104" s="46"/>
      <c r="N104" s="47"/>
    </row>
    <row r="105" spans="8:14" ht="15.75" thickBot="1" x14ac:dyDescent="0.3">
      <c r="H105" s="52">
        <v>101</v>
      </c>
      <c r="I105" s="45" t="str">
        <f>Worksheet!R106</f>
        <v/>
      </c>
      <c r="J105" s="46" t="s">
        <v>143</v>
      </c>
      <c r="K105" s="46"/>
      <c r="L105" s="46" t="str">
        <f t="shared" si="1"/>
        <v/>
      </c>
      <c r="M105" s="46"/>
      <c r="N105" s="47"/>
    </row>
    <row r="106" spans="8:14" ht="15.75" thickBot="1" x14ac:dyDescent="0.3">
      <c r="H106" s="52">
        <v>102</v>
      </c>
      <c r="I106" s="45" t="str">
        <f>Worksheet!R107</f>
        <v/>
      </c>
      <c r="J106" s="46" t="s">
        <v>143</v>
      </c>
      <c r="K106" s="46"/>
      <c r="L106" s="46" t="str">
        <f t="shared" si="1"/>
        <v/>
      </c>
      <c r="M106" s="46"/>
      <c r="N106" s="47"/>
    </row>
    <row r="107" spans="8:14" ht="15.75" thickBot="1" x14ac:dyDescent="0.3">
      <c r="H107" s="52">
        <v>103</v>
      </c>
      <c r="I107" s="45" t="str">
        <f>Worksheet!R108</f>
        <v/>
      </c>
      <c r="J107" s="46" t="s">
        <v>143</v>
      </c>
      <c r="K107" s="46"/>
      <c r="L107" s="46" t="str">
        <f t="shared" si="1"/>
        <v/>
      </c>
      <c r="M107" s="46"/>
      <c r="N107" s="47"/>
    </row>
    <row r="108" spans="8:14" ht="15.75" thickBot="1" x14ac:dyDescent="0.3">
      <c r="H108" s="52">
        <v>104</v>
      </c>
      <c r="I108" s="45" t="str">
        <f>Worksheet!R109</f>
        <v/>
      </c>
      <c r="J108" s="46" t="s">
        <v>143</v>
      </c>
      <c r="K108" s="46"/>
      <c r="L108" s="46" t="str">
        <f t="shared" si="1"/>
        <v/>
      </c>
      <c r="M108" s="46"/>
      <c r="N108" s="47"/>
    </row>
    <row r="109" spans="8:14" ht="15.75" thickBot="1" x14ac:dyDescent="0.3">
      <c r="H109" s="52">
        <v>105</v>
      </c>
      <c r="I109" s="45" t="str">
        <f>Worksheet!R110</f>
        <v/>
      </c>
      <c r="J109" s="46" t="s">
        <v>143</v>
      </c>
      <c r="K109" s="46"/>
      <c r="L109" s="46" t="str">
        <f t="shared" si="1"/>
        <v/>
      </c>
      <c r="M109" s="46"/>
      <c r="N109" s="47"/>
    </row>
    <row r="110" spans="8:14" ht="15.75" thickBot="1" x14ac:dyDescent="0.3">
      <c r="H110" s="52">
        <v>106</v>
      </c>
      <c r="I110" s="45" t="str">
        <f>Worksheet!R111</f>
        <v/>
      </c>
      <c r="J110" s="46" t="s">
        <v>143</v>
      </c>
      <c r="K110" s="46"/>
      <c r="L110" s="46" t="str">
        <f t="shared" si="1"/>
        <v/>
      </c>
      <c r="M110" s="46"/>
      <c r="N110" s="47"/>
    </row>
    <row r="111" spans="8:14" ht="15.75" thickBot="1" x14ac:dyDescent="0.3">
      <c r="H111" s="52">
        <v>107</v>
      </c>
      <c r="I111" s="45" t="str">
        <f>Worksheet!R112</f>
        <v/>
      </c>
      <c r="J111" s="46" t="s">
        <v>143</v>
      </c>
      <c r="K111" s="46"/>
      <c r="L111" s="46" t="str">
        <f t="shared" si="1"/>
        <v/>
      </c>
      <c r="M111" s="46"/>
      <c r="N111" s="47"/>
    </row>
    <row r="112" spans="8:14" ht="15.75" thickBot="1" x14ac:dyDescent="0.3">
      <c r="H112" s="52">
        <v>108</v>
      </c>
      <c r="I112" s="45" t="str">
        <f>Worksheet!R113</f>
        <v/>
      </c>
      <c r="J112" s="46" t="s">
        <v>143</v>
      </c>
      <c r="K112" s="46"/>
      <c r="L112" s="46" t="str">
        <f t="shared" si="1"/>
        <v/>
      </c>
      <c r="M112" s="46"/>
      <c r="N112" s="47"/>
    </row>
    <row r="113" spans="8:14" ht="15.75" thickBot="1" x14ac:dyDescent="0.3">
      <c r="H113" s="52">
        <v>109</v>
      </c>
      <c r="I113" s="45" t="str">
        <f>Worksheet!R114</f>
        <v/>
      </c>
      <c r="J113" s="46" t="s">
        <v>143</v>
      </c>
      <c r="K113" s="46"/>
      <c r="L113" s="46" t="str">
        <f t="shared" si="1"/>
        <v/>
      </c>
      <c r="M113" s="46"/>
      <c r="N113" s="47"/>
    </row>
    <row r="114" spans="8:14" ht="15.75" thickBot="1" x14ac:dyDescent="0.3">
      <c r="H114" s="52">
        <v>110</v>
      </c>
      <c r="I114" s="45" t="str">
        <f>Worksheet!R115</f>
        <v/>
      </c>
      <c r="J114" s="46" t="s">
        <v>143</v>
      </c>
      <c r="K114" s="46"/>
      <c r="L114" s="46" t="str">
        <f t="shared" si="1"/>
        <v/>
      </c>
      <c r="M114" s="46"/>
      <c r="N114" s="47"/>
    </row>
    <row r="115" spans="8:14" ht="15.75" thickBot="1" x14ac:dyDescent="0.3">
      <c r="H115" s="52">
        <v>111</v>
      </c>
      <c r="I115" s="45" t="str">
        <f>Worksheet!R116</f>
        <v/>
      </c>
      <c r="J115" s="46" t="s">
        <v>143</v>
      </c>
      <c r="K115" s="46"/>
      <c r="L115" s="46" t="str">
        <f t="shared" si="1"/>
        <v/>
      </c>
      <c r="M115" s="46"/>
      <c r="N115" s="47"/>
    </row>
    <row r="116" spans="8:14" ht="15.75" thickBot="1" x14ac:dyDescent="0.3">
      <c r="H116" s="52">
        <v>112</v>
      </c>
      <c r="I116" s="45" t="str">
        <f>Worksheet!R117</f>
        <v/>
      </c>
      <c r="J116" s="46" t="s">
        <v>143</v>
      </c>
      <c r="K116" s="46"/>
      <c r="L116" s="46" t="str">
        <f t="shared" si="1"/>
        <v/>
      </c>
      <c r="M116" s="46"/>
      <c r="N116" s="47"/>
    </row>
    <row r="117" spans="8:14" ht="15.75" thickBot="1" x14ac:dyDescent="0.3">
      <c r="H117" s="52">
        <v>113</v>
      </c>
      <c r="I117" s="45" t="str">
        <f>Worksheet!R118</f>
        <v/>
      </c>
      <c r="J117" s="46" t="s">
        <v>143</v>
      </c>
      <c r="K117" s="46"/>
      <c r="L117" s="46" t="str">
        <f t="shared" si="1"/>
        <v/>
      </c>
      <c r="M117" s="46"/>
      <c r="N117" s="47"/>
    </row>
    <row r="118" spans="8:14" ht="15.75" thickBot="1" x14ac:dyDescent="0.3">
      <c r="H118" s="52">
        <v>114</v>
      </c>
      <c r="I118" s="45" t="str">
        <f>Worksheet!R119</f>
        <v/>
      </c>
      <c r="J118" s="46" t="s">
        <v>143</v>
      </c>
      <c r="K118" s="46"/>
      <c r="L118" s="46" t="str">
        <f t="shared" si="1"/>
        <v/>
      </c>
      <c r="M118" s="46"/>
      <c r="N118" s="47"/>
    </row>
    <row r="119" spans="8:14" ht="15.75" thickBot="1" x14ac:dyDescent="0.3">
      <c r="H119" s="52">
        <v>115</v>
      </c>
      <c r="I119" s="45" t="str">
        <f>Worksheet!R120</f>
        <v/>
      </c>
      <c r="J119" s="46" t="s">
        <v>143</v>
      </c>
      <c r="K119" s="46"/>
      <c r="L119" s="46" t="str">
        <f t="shared" si="1"/>
        <v/>
      </c>
      <c r="M119" s="46"/>
      <c r="N119" s="47"/>
    </row>
    <row r="120" spans="8:14" ht="15.75" thickBot="1" x14ac:dyDescent="0.3">
      <c r="H120" s="52">
        <v>116</v>
      </c>
      <c r="I120" s="45" t="str">
        <f>Worksheet!R121</f>
        <v/>
      </c>
      <c r="J120" s="46" t="s">
        <v>143</v>
      </c>
      <c r="K120" s="46"/>
      <c r="L120" s="46" t="str">
        <f t="shared" si="1"/>
        <v/>
      </c>
      <c r="M120" s="46"/>
      <c r="N120" s="47"/>
    </row>
    <row r="121" spans="8:14" ht="15.75" thickBot="1" x14ac:dyDescent="0.3">
      <c r="H121" s="52">
        <v>117</v>
      </c>
      <c r="I121" s="45" t="str">
        <f>Worksheet!R122</f>
        <v/>
      </c>
      <c r="J121" s="46" t="s">
        <v>143</v>
      </c>
      <c r="K121" s="46"/>
      <c r="L121" s="46" t="str">
        <f t="shared" si="1"/>
        <v/>
      </c>
      <c r="M121" s="46"/>
      <c r="N121" s="47"/>
    </row>
    <row r="122" spans="8:14" ht="15.75" thickBot="1" x14ac:dyDescent="0.3">
      <c r="H122" s="52">
        <v>118</v>
      </c>
      <c r="I122" s="45" t="str">
        <f>Worksheet!R123</f>
        <v/>
      </c>
      <c r="J122" s="46" t="s">
        <v>143</v>
      </c>
      <c r="K122" s="46"/>
      <c r="L122" s="46" t="str">
        <f t="shared" si="1"/>
        <v/>
      </c>
      <c r="M122" s="46"/>
      <c r="N122" s="47"/>
    </row>
    <row r="123" spans="8:14" ht="15.75" thickBot="1" x14ac:dyDescent="0.3">
      <c r="H123" s="52">
        <v>119</v>
      </c>
      <c r="I123" s="45" t="str">
        <f>Worksheet!R124</f>
        <v/>
      </c>
      <c r="J123" s="46" t="s">
        <v>143</v>
      </c>
      <c r="K123" s="46"/>
      <c r="L123" s="46" t="str">
        <f t="shared" si="1"/>
        <v/>
      </c>
      <c r="M123" s="46"/>
      <c r="N123" s="47"/>
    </row>
    <row r="124" spans="8:14" ht="15.75" thickBot="1" x14ac:dyDescent="0.3">
      <c r="H124" s="52">
        <v>120</v>
      </c>
      <c r="I124" s="45" t="str">
        <f>Worksheet!R125</f>
        <v/>
      </c>
      <c r="J124" s="46" t="s">
        <v>143</v>
      </c>
      <c r="K124" s="46"/>
      <c r="L124" s="46" t="str">
        <f t="shared" si="1"/>
        <v/>
      </c>
      <c r="M124" s="46"/>
      <c r="N124" s="47"/>
    </row>
    <row r="125" spans="8:14" ht="15.75" thickBot="1" x14ac:dyDescent="0.3">
      <c r="H125" s="52">
        <v>121</v>
      </c>
      <c r="I125" s="45" t="str">
        <f>Worksheet!R126</f>
        <v/>
      </c>
      <c r="J125" s="46" t="s">
        <v>143</v>
      </c>
      <c r="K125" s="46"/>
      <c r="L125" s="46" t="str">
        <f t="shared" si="1"/>
        <v/>
      </c>
      <c r="M125" s="46"/>
      <c r="N125" s="47"/>
    </row>
    <row r="126" spans="8:14" ht="15.75" thickBot="1" x14ac:dyDescent="0.3">
      <c r="H126" s="52">
        <v>122</v>
      </c>
      <c r="I126" s="45" t="str">
        <f>Worksheet!R127</f>
        <v/>
      </c>
      <c r="J126" s="46" t="s">
        <v>143</v>
      </c>
      <c r="K126" s="46"/>
      <c r="L126" s="46" t="str">
        <f t="shared" si="1"/>
        <v/>
      </c>
      <c r="M126" s="46"/>
      <c r="N126" s="47"/>
    </row>
    <row r="127" spans="8:14" ht="15.75" thickBot="1" x14ac:dyDescent="0.3">
      <c r="H127" s="52">
        <v>123</v>
      </c>
      <c r="I127" s="45" t="str">
        <f>Worksheet!R128</f>
        <v/>
      </c>
      <c r="J127" s="46" t="s">
        <v>143</v>
      </c>
      <c r="K127" s="46"/>
      <c r="L127" s="46" t="str">
        <f t="shared" si="1"/>
        <v/>
      </c>
      <c r="M127" s="46"/>
      <c r="N127" s="47"/>
    </row>
    <row r="128" spans="8:14" ht="15.75" thickBot="1" x14ac:dyDescent="0.3">
      <c r="H128" s="52">
        <v>124</v>
      </c>
      <c r="I128" s="45" t="str">
        <f>Worksheet!R129</f>
        <v/>
      </c>
      <c r="J128" s="46" t="s">
        <v>143</v>
      </c>
      <c r="K128" s="46"/>
      <c r="L128" s="46" t="str">
        <f t="shared" si="1"/>
        <v/>
      </c>
      <c r="M128" s="46"/>
      <c r="N128" s="47"/>
    </row>
    <row r="129" spans="8:14" ht="15.75" thickBot="1" x14ac:dyDescent="0.3">
      <c r="H129" s="52">
        <v>125</v>
      </c>
      <c r="I129" s="45" t="str">
        <f>Worksheet!R130</f>
        <v/>
      </c>
      <c r="J129" s="46" t="s">
        <v>143</v>
      </c>
      <c r="K129" s="46"/>
      <c r="L129" s="46" t="str">
        <f t="shared" si="1"/>
        <v/>
      </c>
      <c r="M129" s="46"/>
      <c r="N129" s="47"/>
    </row>
    <row r="130" spans="8:14" ht="15.75" thickBot="1" x14ac:dyDescent="0.3">
      <c r="H130" s="52">
        <v>126</v>
      </c>
      <c r="I130" s="45" t="str">
        <f>Worksheet!R131</f>
        <v/>
      </c>
      <c r="J130" s="46" t="s">
        <v>143</v>
      </c>
      <c r="K130" s="46"/>
      <c r="L130" s="46" t="str">
        <f t="shared" si="1"/>
        <v/>
      </c>
      <c r="M130" s="46"/>
      <c r="N130" s="47"/>
    </row>
    <row r="131" spans="8:14" ht="15.75" thickBot="1" x14ac:dyDescent="0.3">
      <c r="H131" s="52">
        <v>127</v>
      </c>
      <c r="I131" s="45" t="str">
        <f>Worksheet!R132</f>
        <v/>
      </c>
      <c r="J131" s="46" t="s">
        <v>143</v>
      </c>
      <c r="K131" s="46"/>
      <c r="L131" s="46" t="str">
        <f t="shared" si="1"/>
        <v/>
      </c>
      <c r="M131" s="46"/>
      <c r="N131" s="47"/>
    </row>
    <row r="132" spans="8:14" ht="15.75" thickBot="1" x14ac:dyDescent="0.3">
      <c r="H132" s="52">
        <v>128</v>
      </c>
      <c r="I132" s="45" t="str">
        <f>Worksheet!R133</f>
        <v/>
      </c>
      <c r="J132" s="46" t="s">
        <v>143</v>
      </c>
      <c r="K132" s="46"/>
      <c r="L132" s="46" t="str">
        <f t="shared" si="1"/>
        <v/>
      </c>
      <c r="M132" s="46"/>
      <c r="N132" s="47"/>
    </row>
    <row r="133" spans="8:14" ht="15.75" thickBot="1" x14ac:dyDescent="0.3">
      <c r="H133" s="52">
        <v>129</v>
      </c>
      <c r="I133" s="45" t="str">
        <f>Worksheet!R134</f>
        <v/>
      </c>
      <c r="J133" s="46" t="s">
        <v>143</v>
      </c>
      <c r="K133" s="46"/>
      <c r="L133" s="46" t="str">
        <f t="shared" si="1"/>
        <v/>
      </c>
      <c r="M133" s="46"/>
      <c r="N133" s="47"/>
    </row>
    <row r="134" spans="8:14" ht="15.75" thickBot="1" x14ac:dyDescent="0.3">
      <c r="H134" s="52">
        <v>130</v>
      </c>
      <c r="I134" s="45" t="str">
        <f>Worksheet!R135</f>
        <v/>
      </c>
      <c r="J134" s="46" t="s">
        <v>143</v>
      </c>
      <c r="K134" s="46"/>
      <c r="L134" s="46" t="str">
        <f t="shared" ref="L134:L154" si="2">IF(I134&lt;$B$8,$E$8,IF(AND(I134&gt;=$B$9,I134&lt;=$D$9),($F$9*I134)+$E$9,IF(AND(I134&gt;$B$10,I134&lt;=$D$10),($F$10*I134)+$E$10,"")))</f>
        <v/>
      </c>
      <c r="M134" s="46"/>
      <c r="N134" s="47"/>
    </row>
    <row r="135" spans="8:14" ht="15.75" thickBot="1" x14ac:dyDescent="0.3">
      <c r="H135" s="52">
        <v>131</v>
      </c>
      <c r="I135" s="45" t="str">
        <f>Worksheet!R136</f>
        <v/>
      </c>
      <c r="J135" s="46" t="s">
        <v>143</v>
      </c>
      <c r="K135" s="46"/>
      <c r="L135" s="46" t="str">
        <f t="shared" si="2"/>
        <v/>
      </c>
      <c r="M135" s="46"/>
      <c r="N135" s="47"/>
    </row>
    <row r="136" spans="8:14" ht="15.75" thickBot="1" x14ac:dyDescent="0.3">
      <c r="H136" s="52">
        <v>132</v>
      </c>
      <c r="I136" s="45">
        <f>Worksheet!R137</f>
        <v>0</v>
      </c>
      <c r="J136" s="46" t="s">
        <v>143</v>
      </c>
      <c r="K136" s="46"/>
      <c r="L136" s="46">
        <f t="shared" si="2"/>
        <v>4</v>
      </c>
      <c r="M136" s="46"/>
      <c r="N136" s="47"/>
    </row>
    <row r="137" spans="8:14" ht="15.75" thickBot="1" x14ac:dyDescent="0.3">
      <c r="H137" s="52">
        <v>133</v>
      </c>
      <c r="I137" s="45">
        <f>Worksheet!R138</f>
        <v>0</v>
      </c>
      <c r="J137" s="46" t="s">
        <v>143</v>
      </c>
      <c r="K137" s="46"/>
      <c r="L137" s="46">
        <f t="shared" si="2"/>
        <v>4</v>
      </c>
      <c r="M137" s="46"/>
      <c r="N137" s="47"/>
    </row>
    <row r="138" spans="8:14" ht="15.75" thickBot="1" x14ac:dyDescent="0.3">
      <c r="H138" s="52">
        <v>134</v>
      </c>
      <c r="I138" s="45">
        <f>Worksheet!R139</f>
        <v>0</v>
      </c>
      <c r="J138" s="46" t="s">
        <v>143</v>
      </c>
      <c r="K138" s="46"/>
      <c r="L138" s="46">
        <f t="shared" si="2"/>
        <v>4</v>
      </c>
      <c r="M138" s="46"/>
      <c r="N138" s="47"/>
    </row>
    <row r="139" spans="8:14" ht="15.75" thickBot="1" x14ac:dyDescent="0.3">
      <c r="H139" s="52">
        <v>135</v>
      </c>
      <c r="I139" s="45">
        <f>Worksheet!R140</f>
        <v>0</v>
      </c>
      <c r="J139" s="46" t="s">
        <v>143</v>
      </c>
      <c r="K139" s="46"/>
      <c r="L139" s="46">
        <f t="shared" si="2"/>
        <v>4</v>
      </c>
      <c r="M139" s="46"/>
      <c r="N139" s="47"/>
    </row>
    <row r="140" spans="8:14" ht="15.75" thickBot="1" x14ac:dyDescent="0.3">
      <c r="H140" s="52">
        <v>136</v>
      </c>
      <c r="I140" s="45">
        <f>Worksheet!R141</f>
        <v>0</v>
      </c>
      <c r="J140" s="46" t="s">
        <v>143</v>
      </c>
      <c r="K140" s="46"/>
      <c r="L140" s="46">
        <f t="shared" si="2"/>
        <v>4</v>
      </c>
      <c r="M140" s="46"/>
      <c r="N140" s="47"/>
    </row>
    <row r="141" spans="8:14" ht="15.75" thickBot="1" x14ac:dyDescent="0.3">
      <c r="H141" s="52">
        <v>137</v>
      </c>
      <c r="I141" s="45">
        <f>Worksheet!R142</f>
        <v>0</v>
      </c>
      <c r="J141" s="46" t="s">
        <v>143</v>
      </c>
      <c r="K141" s="46"/>
      <c r="L141" s="46">
        <f t="shared" si="2"/>
        <v>4</v>
      </c>
      <c r="M141" s="46"/>
      <c r="N141" s="47"/>
    </row>
    <row r="142" spans="8:14" ht="15.75" thickBot="1" x14ac:dyDescent="0.3">
      <c r="H142" s="52">
        <v>138</v>
      </c>
      <c r="I142" s="45">
        <f>Worksheet!R143</f>
        <v>0</v>
      </c>
      <c r="J142" s="46" t="s">
        <v>143</v>
      </c>
      <c r="K142" s="46"/>
      <c r="L142" s="46">
        <f t="shared" si="2"/>
        <v>4</v>
      </c>
      <c r="M142" s="46"/>
      <c r="N142" s="47"/>
    </row>
    <row r="143" spans="8:14" ht="15.75" thickBot="1" x14ac:dyDescent="0.3">
      <c r="H143" s="52">
        <v>139</v>
      </c>
      <c r="I143" s="45">
        <f>Worksheet!R144</f>
        <v>0</v>
      </c>
      <c r="J143" s="46" t="s">
        <v>143</v>
      </c>
      <c r="K143" s="46"/>
      <c r="L143" s="46">
        <f t="shared" si="2"/>
        <v>4</v>
      </c>
      <c r="M143" s="46"/>
      <c r="N143" s="47"/>
    </row>
    <row r="144" spans="8:14" ht="15.75" thickBot="1" x14ac:dyDescent="0.3">
      <c r="H144" s="52">
        <v>140</v>
      </c>
      <c r="I144" s="45">
        <f>Worksheet!R145</f>
        <v>0</v>
      </c>
      <c r="J144" s="46" t="s">
        <v>143</v>
      </c>
      <c r="K144" s="46"/>
      <c r="L144" s="46">
        <f t="shared" si="2"/>
        <v>4</v>
      </c>
      <c r="M144" s="46"/>
      <c r="N144" s="47"/>
    </row>
    <row r="145" spans="8:14" ht="15.75" thickBot="1" x14ac:dyDescent="0.3">
      <c r="H145" s="52">
        <v>141</v>
      </c>
      <c r="I145" s="45">
        <f>Worksheet!R146</f>
        <v>0</v>
      </c>
      <c r="J145" s="46" t="s">
        <v>143</v>
      </c>
      <c r="K145" s="46"/>
      <c r="L145" s="46">
        <f t="shared" si="2"/>
        <v>4</v>
      </c>
      <c r="M145" s="46"/>
      <c r="N145" s="47"/>
    </row>
    <row r="146" spans="8:14" ht="15.75" thickBot="1" x14ac:dyDescent="0.3">
      <c r="H146" s="52">
        <v>142</v>
      </c>
      <c r="I146" s="45">
        <f>Worksheet!R147</f>
        <v>0</v>
      </c>
      <c r="J146" s="46" t="s">
        <v>143</v>
      </c>
      <c r="K146" s="46"/>
      <c r="L146" s="46">
        <f t="shared" si="2"/>
        <v>4</v>
      </c>
      <c r="M146" s="46"/>
      <c r="N146" s="47"/>
    </row>
    <row r="147" spans="8:14" ht="15.75" thickBot="1" x14ac:dyDescent="0.3">
      <c r="H147" s="52">
        <v>143</v>
      </c>
      <c r="I147" s="45">
        <f>Worksheet!R148</f>
        <v>0</v>
      </c>
      <c r="J147" s="46" t="s">
        <v>143</v>
      </c>
      <c r="K147" s="46"/>
      <c r="L147" s="46">
        <f t="shared" si="2"/>
        <v>4</v>
      </c>
      <c r="M147" s="46"/>
      <c r="N147" s="47"/>
    </row>
    <row r="148" spans="8:14" ht="15.75" thickBot="1" x14ac:dyDescent="0.3">
      <c r="H148" s="52">
        <v>144</v>
      </c>
      <c r="I148" s="45">
        <f>Worksheet!R149</f>
        <v>0</v>
      </c>
      <c r="J148" s="46" t="s">
        <v>143</v>
      </c>
      <c r="K148" s="46"/>
      <c r="L148" s="46">
        <f t="shared" si="2"/>
        <v>4</v>
      </c>
      <c r="M148" s="46"/>
      <c r="N148" s="47"/>
    </row>
    <row r="149" spans="8:14" ht="15.75" thickBot="1" x14ac:dyDescent="0.3">
      <c r="H149" s="52">
        <v>145</v>
      </c>
      <c r="I149" s="45">
        <f>Worksheet!R150</f>
        <v>0</v>
      </c>
      <c r="J149" s="46" t="s">
        <v>143</v>
      </c>
      <c r="K149" s="46"/>
      <c r="L149" s="46">
        <f t="shared" si="2"/>
        <v>4</v>
      </c>
      <c r="M149" s="46"/>
      <c r="N149" s="47"/>
    </row>
    <row r="150" spans="8:14" ht="15.75" thickBot="1" x14ac:dyDescent="0.3">
      <c r="H150" s="52">
        <v>146</v>
      </c>
      <c r="I150" s="45">
        <f>Worksheet!R151</f>
        <v>0</v>
      </c>
      <c r="J150" s="46" t="s">
        <v>143</v>
      </c>
      <c r="K150" s="46"/>
      <c r="L150" s="46">
        <f t="shared" si="2"/>
        <v>4</v>
      </c>
      <c r="M150" s="46"/>
      <c r="N150" s="47"/>
    </row>
    <row r="151" spans="8:14" ht="15.75" thickBot="1" x14ac:dyDescent="0.3">
      <c r="H151" s="52">
        <v>147</v>
      </c>
      <c r="I151" s="45">
        <f>Worksheet!R152</f>
        <v>0</v>
      </c>
      <c r="J151" s="46" t="s">
        <v>143</v>
      </c>
      <c r="K151" s="46"/>
      <c r="L151" s="46">
        <f t="shared" si="2"/>
        <v>4</v>
      </c>
      <c r="M151" s="46"/>
      <c r="N151" s="47"/>
    </row>
    <row r="152" spans="8:14" ht="15.75" thickBot="1" x14ac:dyDescent="0.3">
      <c r="H152" s="52">
        <v>148</v>
      </c>
      <c r="I152" s="45">
        <f>Worksheet!R153</f>
        <v>0</v>
      </c>
      <c r="J152" s="46" t="s">
        <v>143</v>
      </c>
      <c r="K152" s="46"/>
      <c r="L152" s="46">
        <f t="shared" si="2"/>
        <v>4</v>
      </c>
      <c r="M152" s="46"/>
      <c r="N152" s="47"/>
    </row>
    <row r="153" spans="8:14" ht="15.75" thickBot="1" x14ac:dyDescent="0.3">
      <c r="H153" s="52">
        <v>149</v>
      </c>
      <c r="I153" s="45">
        <f>Worksheet!R154</f>
        <v>0</v>
      </c>
      <c r="J153" s="46" t="s">
        <v>143</v>
      </c>
      <c r="K153" s="46"/>
      <c r="L153" s="46">
        <f t="shared" si="2"/>
        <v>4</v>
      </c>
      <c r="M153" s="46"/>
      <c r="N153" s="47"/>
    </row>
    <row r="154" spans="8:14" ht="15.75" thickBot="1" x14ac:dyDescent="0.3">
      <c r="H154" s="52">
        <v>150</v>
      </c>
      <c r="I154" s="45">
        <f>Worksheet!R155</f>
        <v>0</v>
      </c>
      <c r="J154" s="46" t="s">
        <v>143</v>
      </c>
      <c r="K154" s="46"/>
      <c r="L154" s="46">
        <f t="shared" si="2"/>
        <v>4</v>
      </c>
      <c r="M154" s="46"/>
      <c r="N154" s="47"/>
    </row>
  </sheetData>
  <sheetProtection algorithmName="SHA-512" hashValue="RAxbdQyZbg45vrTYt+fuZoHZrU1RYVCgkQJfo198EtIKv2araY4a/k9R3TLSi+CEGoxR0GBamnzUWEOn447G1g==" saltValue="5H0DoaHR3q8MirdRbhwyCw==" spinCount="100000" sheet="1" selectLockedCells="1" selectUnlockedCells="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C1:AL200"/>
  <sheetViews>
    <sheetView topLeftCell="C1" workbookViewId="0">
      <selection activeCell="AC5" sqref="AC5"/>
    </sheetView>
  </sheetViews>
  <sheetFormatPr defaultColWidth="9.140625" defaultRowHeight="15" x14ac:dyDescent="0.25"/>
  <cols>
    <col min="3" max="3" width="12.140625" customWidth="1"/>
    <col min="4" max="4" width="6" style="30" customWidth="1"/>
    <col min="5" max="5" width="7.140625" customWidth="1"/>
    <col min="6" max="6" width="6.140625" style="30" customWidth="1"/>
    <col min="7" max="7" width="7.5703125" customWidth="1"/>
    <col min="8" max="8" width="6" style="30" customWidth="1"/>
    <col min="10" max="10" width="6.28515625" style="30" customWidth="1"/>
    <col min="12" max="12" width="5.85546875" style="30" customWidth="1"/>
    <col min="15" max="15" width="7.7109375" customWidth="1"/>
    <col min="18" max="18" width="9.42578125" customWidth="1"/>
  </cols>
  <sheetData>
    <row r="1" spans="3:38" ht="15.75" thickBot="1" x14ac:dyDescent="0.3">
      <c r="C1" t="s">
        <v>152</v>
      </c>
      <c r="AD1" t="s">
        <v>153</v>
      </c>
      <c r="AI1" s="46" t="s">
        <v>154</v>
      </c>
    </row>
    <row r="2" spans="3:38" ht="15.75" thickBot="1" x14ac:dyDescent="0.3">
      <c r="AD2" t="s">
        <v>155</v>
      </c>
      <c r="AI2" s="46" t="s">
        <v>154</v>
      </c>
    </row>
    <row r="3" spans="3:38" x14ac:dyDescent="0.25">
      <c r="C3" t="s">
        <v>139</v>
      </c>
    </row>
    <row r="5" spans="3:38" x14ac:dyDescent="0.25">
      <c r="C5" s="31" t="s">
        <v>156</v>
      </c>
      <c r="E5" s="31" t="s">
        <v>157</v>
      </c>
      <c r="G5" s="31" t="s">
        <v>158</v>
      </c>
      <c r="I5" s="31" t="s">
        <v>159</v>
      </c>
      <c r="K5" s="31" t="s">
        <v>151</v>
      </c>
    </row>
    <row r="6" spans="3:38" x14ac:dyDescent="0.25">
      <c r="C6" s="31" t="s">
        <v>160</v>
      </c>
      <c r="E6" s="31">
        <v>1</v>
      </c>
      <c r="G6" s="31" t="s">
        <v>161</v>
      </c>
      <c r="I6" s="31" t="s">
        <v>162</v>
      </c>
      <c r="K6" s="31" t="s">
        <v>163</v>
      </c>
    </row>
    <row r="7" spans="3:38" s="32" customFormat="1" x14ac:dyDescent="0.25">
      <c r="C7" s="32" t="s">
        <v>164</v>
      </c>
      <c r="D7" s="33"/>
      <c r="E7" s="31" t="s">
        <v>140</v>
      </c>
      <c r="F7" s="33"/>
      <c r="G7" s="31" t="s">
        <v>6</v>
      </c>
      <c r="H7" s="33"/>
      <c r="I7" s="31" t="s">
        <v>141</v>
      </c>
      <c r="J7" s="33"/>
      <c r="K7" s="31" t="s">
        <v>142</v>
      </c>
      <c r="L7" s="33"/>
      <c r="R7" s="32" t="s">
        <v>165</v>
      </c>
      <c r="AC7" s="32" t="s">
        <v>166</v>
      </c>
    </row>
    <row r="8" spans="3:38" x14ac:dyDescent="0.25">
      <c r="C8" t="s">
        <v>167</v>
      </c>
      <c r="D8" s="30" t="s">
        <v>168</v>
      </c>
      <c r="E8" t="s">
        <v>167</v>
      </c>
      <c r="F8" s="30" t="s">
        <v>168</v>
      </c>
      <c r="G8" t="s">
        <v>167</v>
      </c>
      <c r="H8" s="30" t="s">
        <v>168</v>
      </c>
      <c r="I8" t="s">
        <v>167</v>
      </c>
      <c r="J8" s="30" t="s">
        <v>168</v>
      </c>
      <c r="K8" t="s">
        <v>167</v>
      </c>
      <c r="L8" s="30" t="s">
        <v>168</v>
      </c>
      <c r="S8" s="34" t="s">
        <v>164</v>
      </c>
      <c r="T8" s="34" t="s">
        <v>140</v>
      </c>
      <c r="U8" s="34" t="s">
        <v>6</v>
      </c>
      <c r="V8" s="34" t="s">
        <v>141</v>
      </c>
      <c r="W8" s="34" t="s">
        <v>142</v>
      </c>
      <c r="AD8" s="34" t="s">
        <v>164</v>
      </c>
      <c r="AE8" s="34" t="s">
        <v>140</v>
      </c>
      <c r="AF8" s="34" t="s">
        <v>6</v>
      </c>
      <c r="AG8" s="34" t="s">
        <v>141</v>
      </c>
      <c r="AH8" s="34" t="s">
        <v>142</v>
      </c>
    </row>
    <row r="9" spans="3:38" x14ac:dyDescent="0.25">
      <c r="C9">
        <v>12</v>
      </c>
      <c r="D9" s="30">
        <v>2</v>
      </c>
      <c r="E9">
        <v>4</v>
      </c>
      <c r="F9" s="30">
        <v>2</v>
      </c>
      <c r="G9">
        <v>6</v>
      </c>
      <c r="H9" s="30">
        <v>4</v>
      </c>
      <c r="I9">
        <v>12</v>
      </c>
      <c r="J9" s="30">
        <v>6</v>
      </c>
      <c r="K9">
        <v>24</v>
      </c>
      <c r="L9" s="30">
        <v>12</v>
      </c>
      <c r="R9">
        <v>0.05</v>
      </c>
      <c r="S9">
        <v>12</v>
      </c>
      <c r="T9">
        <v>4</v>
      </c>
      <c r="U9">
        <v>6</v>
      </c>
      <c r="V9">
        <v>12</v>
      </c>
      <c r="W9">
        <v>24</v>
      </c>
      <c r="Y9" s="34" t="str">
        <f>Worksheet!$E$3</f>
        <v>0</v>
      </c>
      <c r="Z9" t="str">
        <f>Worksheet!R6</f>
        <v/>
      </c>
      <c r="AA9">
        <f>HLOOKUP(Y9,$R$8:$W$36,COUNTIF($R$9:$R$36,"&lt;"&amp;Z9)+2,FALSE)</f>
        <v>6</v>
      </c>
      <c r="AC9">
        <v>0.05</v>
      </c>
      <c r="AD9" s="30">
        <v>2</v>
      </c>
      <c r="AE9" s="30">
        <v>2</v>
      </c>
      <c r="AF9" s="30">
        <v>4</v>
      </c>
      <c r="AG9" s="30">
        <v>6</v>
      </c>
      <c r="AH9" s="30">
        <v>12</v>
      </c>
      <c r="AJ9" s="34" t="str">
        <f>Worksheet!$E$3</f>
        <v>0</v>
      </c>
      <c r="AK9" t="str">
        <f>Worksheet!R6</f>
        <v/>
      </c>
      <c r="AL9">
        <f>HLOOKUP(AJ9,$AC$8:$AH$36,COUNTIF($AC$9:$AC$36,"&lt;"&amp;AK9)+2,FALSE)</f>
        <v>4</v>
      </c>
    </row>
    <row r="10" spans="3:38" x14ac:dyDescent="0.25">
      <c r="C10">
        <v>10</v>
      </c>
      <c r="D10" s="30">
        <v>2</v>
      </c>
      <c r="E10">
        <v>3</v>
      </c>
      <c r="F10" s="30">
        <v>2</v>
      </c>
      <c r="G10">
        <v>5</v>
      </c>
      <c r="H10" s="30">
        <v>4</v>
      </c>
      <c r="I10">
        <v>8</v>
      </c>
      <c r="J10" s="30">
        <v>6</v>
      </c>
      <c r="K10">
        <v>18</v>
      </c>
      <c r="L10" s="30">
        <v>12</v>
      </c>
      <c r="R10">
        <v>0.4</v>
      </c>
      <c r="S10">
        <v>10</v>
      </c>
      <c r="T10">
        <v>3</v>
      </c>
      <c r="U10">
        <v>5</v>
      </c>
      <c r="V10">
        <v>8</v>
      </c>
      <c r="W10">
        <v>18</v>
      </c>
      <c r="X10" s="34"/>
      <c r="Y10" t="str">
        <f>Worksheet!$E$3</f>
        <v>0</v>
      </c>
      <c r="Z10" t="str">
        <f>Worksheet!R7</f>
        <v/>
      </c>
      <c r="AA10">
        <f t="shared" ref="AA10:AA73" si="0">HLOOKUP(Y10,$R$8:$W$36,COUNTIF($R$9:$R$36,"&lt;"&amp;Z10)+2,FALSE)</f>
        <v>6</v>
      </c>
      <c r="AC10">
        <v>0.4</v>
      </c>
      <c r="AD10" s="30">
        <v>2</v>
      </c>
      <c r="AE10" s="30">
        <v>2</v>
      </c>
      <c r="AF10" s="30">
        <v>4</v>
      </c>
      <c r="AG10" s="30">
        <v>6</v>
      </c>
      <c r="AH10" s="30">
        <v>12</v>
      </c>
      <c r="AJ10" t="str">
        <f>Worksheet!$E$3</f>
        <v>0</v>
      </c>
      <c r="AK10" t="str">
        <f>Worksheet!R7</f>
        <v/>
      </c>
      <c r="AL10">
        <f t="shared" ref="AL10:AL73" si="1">HLOOKUP(AJ10,$AC$8:$AH$36,COUNTIF($AC$9:$AC$36,"&lt;"&amp;AK10)+2,FALSE)</f>
        <v>4</v>
      </c>
    </row>
    <row r="11" spans="3:38" x14ac:dyDescent="0.25">
      <c r="C11">
        <v>12</v>
      </c>
      <c r="D11" s="30">
        <v>2</v>
      </c>
      <c r="E11">
        <v>3</v>
      </c>
      <c r="F11" s="30">
        <v>2</v>
      </c>
      <c r="G11">
        <v>6</v>
      </c>
      <c r="H11" s="30">
        <v>4</v>
      </c>
      <c r="I11">
        <v>12</v>
      </c>
      <c r="J11" s="30">
        <v>6</v>
      </c>
      <c r="K11">
        <v>24</v>
      </c>
      <c r="L11" s="30">
        <v>12</v>
      </c>
      <c r="R11">
        <v>1</v>
      </c>
      <c r="S11">
        <v>12</v>
      </c>
      <c r="T11">
        <v>3</v>
      </c>
      <c r="U11">
        <v>6</v>
      </c>
      <c r="V11">
        <v>12</v>
      </c>
      <c r="W11">
        <v>24</v>
      </c>
      <c r="X11" s="34"/>
      <c r="Y11" t="str">
        <f>Worksheet!$E$3</f>
        <v>0</v>
      </c>
      <c r="Z11" t="str">
        <f>Worksheet!R8</f>
        <v/>
      </c>
      <c r="AA11">
        <f t="shared" si="0"/>
        <v>6</v>
      </c>
      <c r="AC11">
        <v>1</v>
      </c>
      <c r="AD11" s="30">
        <v>2</v>
      </c>
      <c r="AE11" s="30">
        <v>2</v>
      </c>
      <c r="AF11" s="30">
        <v>4</v>
      </c>
      <c r="AG11" s="30">
        <v>6</v>
      </c>
      <c r="AH11" s="30">
        <v>12</v>
      </c>
      <c r="AJ11" t="str">
        <f>Worksheet!$E$3</f>
        <v>0</v>
      </c>
      <c r="AK11" t="str">
        <f>Worksheet!R8</f>
        <v/>
      </c>
      <c r="AL11">
        <f t="shared" si="1"/>
        <v>4</v>
      </c>
    </row>
    <row r="12" spans="3:38" x14ac:dyDescent="0.25">
      <c r="C12">
        <v>16</v>
      </c>
      <c r="D12" s="30">
        <v>2</v>
      </c>
      <c r="E12">
        <v>4</v>
      </c>
      <c r="F12" s="30">
        <v>2</v>
      </c>
      <c r="G12">
        <v>8</v>
      </c>
      <c r="H12" s="30">
        <v>4</v>
      </c>
      <c r="I12">
        <v>16</v>
      </c>
      <c r="J12" s="30">
        <v>6</v>
      </c>
      <c r="K12">
        <v>32</v>
      </c>
      <c r="L12" s="30">
        <v>12</v>
      </c>
      <c r="R12">
        <v>2</v>
      </c>
      <c r="S12">
        <v>16</v>
      </c>
      <c r="T12">
        <v>4</v>
      </c>
      <c r="U12">
        <v>8</v>
      </c>
      <c r="V12">
        <v>16</v>
      </c>
      <c r="W12">
        <v>32</v>
      </c>
      <c r="X12" s="34"/>
      <c r="Y12" t="str">
        <f>Worksheet!$E$3</f>
        <v>0</v>
      </c>
      <c r="Z12" t="str">
        <f>Worksheet!R9</f>
        <v/>
      </c>
      <c r="AA12">
        <f t="shared" si="0"/>
        <v>6</v>
      </c>
      <c r="AC12">
        <v>2</v>
      </c>
      <c r="AD12" s="30">
        <v>2</v>
      </c>
      <c r="AE12" s="30">
        <v>2</v>
      </c>
      <c r="AF12" s="30">
        <v>4</v>
      </c>
      <c r="AG12" s="30">
        <v>6</v>
      </c>
      <c r="AH12" s="30">
        <v>12</v>
      </c>
      <c r="AJ12" t="str">
        <f>Worksheet!$E$3</f>
        <v>0</v>
      </c>
      <c r="AK12" t="str">
        <f>Worksheet!R9</f>
        <v/>
      </c>
      <c r="AL12">
        <f t="shared" si="1"/>
        <v>4</v>
      </c>
    </row>
    <row r="13" spans="3:38" x14ac:dyDescent="0.25">
      <c r="C13">
        <v>20</v>
      </c>
      <c r="D13" s="30">
        <v>2</v>
      </c>
      <c r="E13">
        <v>5</v>
      </c>
      <c r="F13" s="30">
        <v>3</v>
      </c>
      <c r="G13">
        <v>10</v>
      </c>
      <c r="H13" s="30">
        <v>4</v>
      </c>
      <c r="I13">
        <v>20</v>
      </c>
      <c r="J13" s="30">
        <v>6</v>
      </c>
      <c r="K13">
        <v>40</v>
      </c>
      <c r="L13" s="30">
        <v>14</v>
      </c>
      <c r="R13">
        <v>3</v>
      </c>
      <c r="S13">
        <v>20</v>
      </c>
      <c r="T13">
        <v>5</v>
      </c>
      <c r="U13">
        <v>10</v>
      </c>
      <c r="V13">
        <v>20</v>
      </c>
      <c r="W13">
        <v>40</v>
      </c>
      <c r="X13" s="34"/>
      <c r="Y13" t="str">
        <f>Worksheet!$E$3</f>
        <v>0</v>
      </c>
      <c r="Z13" t="str">
        <f>Worksheet!R10</f>
        <v/>
      </c>
      <c r="AA13">
        <f t="shared" si="0"/>
        <v>6</v>
      </c>
      <c r="AC13">
        <v>3</v>
      </c>
      <c r="AD13" s="30">
        <v>2</v>
      </c>
      <c r="AE13" s="30">
        <v>3</v>
      </c>
      <c r="AF13" s="30">
        <v>4</v>
      </c>
      <c r="AG13" s="30">
        <v>6</v>
      </c>
      <c r="AH13" s="30">
        <v>14</v>
      </c>
      <c r="AJ13" t="str">
        <f>Worksheet!$E$3</f>
        <v>0</v>
      </c>
      <c r="AK13" t="str">
        <f>Worksheet!R10</f>
        <v/>
      </c>
      <c r="AL13">
        <f t="shared" si="1"/>
        <v>4</v>
      </c>
    </row>
    <row r="14" spans="3:38" x14ac:dyDescent="0.25">
      <c r="C14">
        <v>24</v>
      </c>
      <c r="D14" s="30">
        <v>3</v>
      </c>
      <c r="E14">
        <v>6</v>
      </c>
      <c r="F14" s="30">
        <v>3</v>
      </c>
      <c r="G14">
        <v>12</v>
      </c>
      <c r="H14" s="30">
        <v>5</v>
      </c>
      <c r="I14">
        <v>24</v>
      </c>
      <c r="J14" s="30">
        <v>8</v>
      </c>
      <c r="K14">
        <v>48</v>
      </c>
      <c r="L14" s="30">
        <v>14</v>
      </c>
      <c r="R14">
        <v>4</v>
      </c>
      <c r="S14">
        <v>24</v>
      </c>
      <c r="T14">
        <v>6</v>
      </c>
      <c r="U14">
        <v>12</v>
      </c>
      <c r="V14">
        <v>24</v>
      </c>
      <c r="W14">
        <v>48</v>
      </c>
      <c r="X14" s="34"/>
      <c r="Y14" t="str">
        <f>Worksheet!$E$3</f>
        <v>0</v>
      </c>
      <c r="Z14" t="str">
        <f>Worksheet!R11</f>
        <v/>
      </c>
      <c r="AA14">
        <f t="shared" si="0"/>
        <v>6</v>
      </c>
      <c r="AC14">
        <v>4</v>
      </c>
      <c r="AD14" s="30">
        <v>3</v>
      </c>
      <c r="AE14" s="30">
        <v>3</v>
      </c>
      <c r="AF14" s="30">
        <v>5</v>
      </c>
      <c r="AG14" s="30">
        <v>8</v>
      </c>
      <c r="AH14" s="30">
        <v>14</v>
      </c>
      <c r="AJ14" t="str">
        <f>Worksheet!$E$3</f>
        <v>0</v>
      </c>
      <c r="AK14" t="str">
        <f>Worksheet!R11</f>
        <v/>
      </c>
      <c r="AL14">
        <f t="shared" si="1"/>
        <v>4</v>
      </c>
    </row>
    <row r="15" spans="3:38" x14ac:dyDescent="0.25">
      <c r="C15">
        <v>32</v>
      </c>
      <c r="D15" s="30">
        <v>3</v>
      </c>
      <c r="E15">
        <v>8</v>
      </c>
      <c r="F15" s="30">
        <v>3</v>
      </c>
      <c r="G15">
        <v>16</v>
      </c>
      <c r="H15" s="30">
        <v>5</v>
      </c>
      <c r="I15">
        <v>32</v>
      </c>
      <c r="J15" s="30">
        <v>8</v>
      </c>
      <c r="K15">
        <v>64</v>
      </c>
      <c r="L15" s="30">
        <v>16</v>
      </c>
      <c r="R15">
        <v>5</v>
      </c>
      <c r="S15">
        <v>32</v>
      </c>
      <c r="T15">
        <v>8</v>
      </c>
      <c r="U15">
        <v>16</v>
      </c>
      <c r="V15">
        <v>32</v>
      </c>
      <c r="W15">
        <v>64</v>
      </c>
      <c r="X15" s="34"/>
      <c r="Y15" t="str">
        <f>Worksheet!$E$3</f>
        <v>0</v>
      </c>
      <c r="Z15" t="str">
        <f>Worksheet!R12</f>
        <v/>
      </c>
      <c r="AA15">
        <f t="shared" si="0"/>
        <v>6</v>
      </c>
      <c r="AC15">
        <v>5</v>
      </c>
      <c r="AD15" s="30">
        <v>3</v>
      </c>
      <c r="AE15" s="30">
        <v>3</v>
      </c>
      <c r="AF15" s="30">
        <v>5</v>
      </c>
      <c r="AG15" s="30">
        <v>8</v>
      </c>
      <c r="AH15" s="30">
        <v>16</v>
      </c>
      <c r="AJ15" t="str">
        <f>Worksheet!$E$3</f>
        <v>0</v>
      </c>
      <c r="AK15" t="str">
        <f>Worksheet!R12</f>
        <v/>
      </c>
      <c r="AL15">
        <f t="shared" si="1"/>
        <v>4</v>
      </c>
    </row>
    <row r="16" spans="3:38" x14ac:dyDescent="0.25">
      <c r="C16">
        <v>32</v>
      </c>
      <c r="D16" s="30">
        <v>3</v>
      </c>
      <c r="E16">
        <v>8</v>
      </c>
      <c r="F16" s="30">
        <v>3</v>
      </c>
      <c r="G16">
        <v>16</v>
      </c>
      <c r="H16" s="30">
        <v>5</v>
      </c>
      <c r="I16">
        <v>32</v>
      </c>
      <c r="J16" s="30">
        <v>8</v>
      </c>
      <c r="K16">
        <v>64</v>
      </c>
      <c r="L16" s="30">
        <v>16</v>
      </c>
      <c r="R16">
        <v>6</v>
      </c>
      <c r="S16">
        <v>32</v>
      </c>
      <c r="T16">
        <v>8</v>
      </c>
      <c r="U16">
        <v>16</v>
      </c>
      <c r="V16">
        <v>32</v>
      </c>
      <c r="W16">
        <v>64</v>
      </c>
      <c r="Y16" t="str">
        <f>Worksheet!$E$3</f>
        <v>0</v>
      </c>
      <c r="Z16" t="str">
        <f>Worksheet!R13</f>
        <v/>
      </c>
      <c r="AA16">
        <f t="shared" si="0"/>
        <v>6</v>
      </c>
      <c r="AC16">
        <v>6</v>
      </c>
      <c r="AD16" s="30">
        <v>3</v>
      </c>
      <c r="AE16" s="30">
        <v>3</v>
      </c>
      <c r="AF16" s="30">
        <v>5</v>
      </c>
      <c r="AG16" s="30">
        <v>8</v>
      </c>
      <c r="AH16" s="30">
        <v>16</v>
      </c>
      <c r="AJ16" t="str">
        <f>Worksheet!$E$3</f>
        <v>0</v>
      </c>
      <c r="AK16" t="str">
        <f>Worksheet!R13</f>
        <v/>
      </c>
      <c r="AL16">
        <f t="shared" si="1"/>
        <v>4</v>
      </c>
    </row>
    <row r="17" spans="3:38" x14ac:dyDescent="0.25">
      <c r="C17">
        <v>40</v>
      </c>
      <c r="D17" s="30">
        <v>4</v>
      </c>
      <c r="E17">
        <v>10</v>
      </c>
      <c r="F17" s="30">
        <v>4</v>
      </c>
      <c r="G17">
        <v>20</v>
      </c>
      <c r="H17" s="30">
        <v>6</v>
      </c>
      <c r="I17">
        <v>40</v>
      </c>
      <c r="J17" s="30">
        <v>10</v>
      </c>
      <c r="K17">
        <v>80</v>
      </c>
      <c r="L17" s="30">
        <v>16</v>
      </c>
      <c r="R17">
        <v>7</v>
      </c>
      <c r="S17">
        <v>40</v>
      </c>
      <c r="T17">
        <v>10</v>
      </c>
      <c r="U17">
        <v>20</v>
      </c>
      <c r="V17">
        <v>40</v>
      </c>
      <c r="W17">
        <v>80</v>
      </c>
      <c r="X17" s="34"/>
      <c r="Y17" t="str">
        <f>Worksheet!$E$3</f>
        <v>0</v>
      </c>
      <c r="Z17" t="str">
        <f>Worksheet!R14</f>
        <v/>
      </c>
      <c r="AA17">
        <f t="shared" si="0"/>
        <v>6</v>
      </c>
      <c r="AC17">
        <v>7</v>
      </c>
      <c r="AD17" s="30">
        <v>4</v>
      </c>
      <c r="AE17" s="30">
        <v>4</v>
      </c>
      <c r="AF17" s="30">
        <v>6</v>
      </c>
      <c r="AG17" s="30">
        <v>10</v>
      </c>
      <c r="AH17" s="30">
        <v>16</v>
      </c>
      <c r="AJ17" t="str">
        <f>Worksheet!$E$3</f>
        <v>0</v>
      </c>
      <c r="AK17" t="str">
        <f>Worksheet!R14</f>
        <v/>
      </c>
      <c r="AL17">
        <f t="shared" si="1"/>
        <v>4</v>
      </c>
    </row>
    <row r="18" spans="3:38" x14ac:dyDescent="0.25">
      <c r="C18">
        <v>40</v>
      </c>
      <c r="D18" s="30">
        <v>4</v>
      </c>
      <c r="E18">
        <v>10</v>
      </c>
      <c r="F18" s="30">
        <v>4</v>
      </c>
      <c r="G18">
        <v>20</v>
      </c>
      <c r="H18" s="30">
        <v>6</v>
      </c>
      <c r="I18">
        <v>40</v>
      </c>
      <c r="J18" s="30">
        <v>10</v>
      </c>
      <c r="K18">
        <v>80</v>
      </c>
      <c r="L18" s="30">
        <v>16</v>
      </c>
      <c r="R18">
        <v>8</v>
      </c>
      <c r="S18">
        <v>40</v>
      </c>
      <c r="T18">
        <v>10</v>
      </c>
      <c r="U18">
        <v>20</v>
      </c>
      <c r="V18">
        <v>40</v>
      </c>
      <c r="W18">
        <v>80</v>
      </c>
      <c r="X18" s="34"/>
      <c r="Y18" t="str">
        <f>Worksheet!$E$3</f>
        <v>0</v>
      </c>
      <c r="Z18" t="str">
        <f>Worksheet!R15</f>
        <v/>
      </c>
      <c r="AA18">
        <f t="shared" si="0"/>
        <v>6</v>
      </c>
      <c r="AC18">
        <v>8</v>
      </c>
      <c r="AD18" s="30">
        <v>4</v>
      </c>
      <c r="AE18" s="30">
        <v>4</v>
      </c>
      <c r="AF18" s="30">
        <v>6</v>
      </c>
      <c r="AG18" s="30">
        <v>10</v>
      </c>
      <c r="AH18" s="30">
        <v>16</v>
      </c>
      <c r="AJ18" t="str">
        <f>Worksheet!$E$3</f>
        <v>0</v>
      </c>
      <c r="AK18" t="str">
        <f>Worksheet!R15</f>
        <v/>
      </c>
      <c r="AL18">
        <f t="shared" si="1"/>
        <v>4</v>
      </c>
    </row>
    <row r="19" spans="3:38" x14ac:dyDescent="0.25">
      <c r="C19">
        <v>48</v>
      </c>
      <c r="D19" s="30">
        <v>4</v>
      </c>
      <c r="E19">
        <v>12</v>
      </c>
      <c r="F19" s="30">
        <v>4</v>
      </c>
      <c r="G19">
        <v>24</v>
      </c>
      <c r="H19" s="30">
        <v>6</v>
      </c>
      <c r="I19">
        <v>48</v>
      </c>
      <c r="J19" s="30">
        <v>10</v>
      </c>
      <c r="K19">
        <v>104</v>
      </c>
      <c r="L19" s="30">
        <v>18</v>
      </c>
      <c r="R19">
        <v>9</v>
      </c>
      <c r="S19">
        <v>48</v>
      </c>
      <c r="T19">
        <v>12</v>
      </c>
      <c r="U19">
        <v>24</v>
      </c>
      <c r="V19">
        <v>48</v>
      </c>
      <c r="W19">
        <v>104</v>
      </c>
      <c r="Y19" t="str">
        <f>Worksheet!$E$3</f>
        <v>0</v>
      </c>
      <c r="Z19" t="str">
        <f>Worksheet!R16</f>
        <v/>
      </c>
      <c r="AA19">
        <f t="shared" si="0"/>
        <v>6</v>
      </c>
      <c r="AC19">
        <v>9</v>
      </c>
      <c r="AD19" s="30">
        <v>4</v>
      </c>
      <c r="AE19" s="30">
        <v>4</v>
      </c>
      <c r="AF19" s="30">
        <v>6</v>
      </c>
      <c r="AG19" s="30">
        <v>10</v>
      </c>
      <c r="AH19" s="30">
        <v>18</v>
      </c>
      <c r="AJ19" t="str">
        <f>Worksheet!$E$3</f>
        <v>0</v>
      </c>
      <c r="AK19" t="str">
        <f>Worksheet!R16</f>
        <v/>
      </c>
      <c r="AL19">
        <f t="shared" si="1"/>
        <v>4</v>
      </c>
    </row>
    <row r="20" spans="3:38" x14ac:dyDescent="0.25">
      <c r="C20">
        <v>56</v>
      </c>
      <c r="D20" s="30">
        <v>4</v>
      </c>
      <c r="E20">
        <v>14</v>
      </c>
      <c r="F20" s="30">
        <v>4</v>
      </c>
      <c r="G20">
        <v>28</v>
      </c>
      <c r="H20" s="30">
        <v>7</v>
      </c>
      <c r="I20">
        <v>56</v>
      </c>
      <c r="J20" s="30">
        <v>10</v>
      </c>
      <c r="K20">
        <v>112</v>
      </c>
      <c r="L20" s="30">
        <v>20</v>
      </c>
      <c r="R20">
        <v>10</v>
      </c>
      <c r="S20">
        <v>48</v>
      </c>
      <c r="T20">
        <v>12</v>
      </c>
      <c r="U20">
        <v>24</v>
      </c>
      <c r="V20">
        <v>48</v>
      </c>
      <c r="W20">
        <v>104</v>
      </c>
      <c r="Y20" t="str">
        <f>Worksheet!$E$3</f>
        <v>0</v>
      </c>
      <c r="Z20" t="str">
        <f>Worksheet!R17</f>
        <v/>
      </c>
      <c r="AA20">
        <f t="shared" si="0"/>
        <v>6</v>
      </c>
      <c r="AC20">
        <v>10</v>
      </c>
      <c r="AD20" s="30">
        <v>4</v>
      </c>
      <c r="AE20" s="30">
        <v>4</v>
      </c>
      <c r="AF20" s="30">
        <v>6</v>
      </c>
      <c r="AG20" s="30">
        <v>10</v>
      </c>
      <c r="AH20" s="30">
        <v>18</v>
      </c>
      <c r="AJ20" t="str">
        <f>Worksheet!$E$3</f>
        <v>0</v>
      </c>
      <c r="AK20" t="str">
        <f>Worksheet!R17</f>
        <v/>
      </c>
      <c r="AL20">
        <f t="shared" si="1"/>
        <v>4</v>
      </c>
    </row>
    <row r="21" spans="3:38" x14ac:dyDescent="0.25">
      <c r="C21">
        <v>72</v>
      </c>
      <c r="D21" s="30">
        <v>5</v>
      </c>
      <c r="E21">
        <v>18</v>
      </c>
      <c r="F21" s="30">
        <v>5</v>
      </c>
      <c r="G21">
        <v>36</v>
      </c>
      <c r="H21" s="30">
        <v>8</v>
      </c>
      <c r="I21">
        <v>72</v>
      </c>
      <c r="J21" s="30">
        <v>12</v>
      </c>
      <c r="K21">
        <v>144</v>
      </c>
      <c r="L21" s="30">
        <v>20</v>
      </c>
      <c r="R21">
        <v>11</v>
      </c>
      <c r="S21">
        <v>56</v>
      </c>
      <c r="T21">
        <v>14</v>
      </c>
      <c r="U21">
        <v>28</v>
      </c>
      <c r="V21">
        <v>56</v>
      </c>
      <c r="W21">
        <v>112</v>
      </c>
      <c r="Y21" t="str">
        <f>Worksheet!$E$3</f>
        <v>0</v>
      </c>
      <c r="Z21" t="str">
        <f>Worksheet!R18</f>
        <v/>
      </c>
      <c r="AA21">
        <f t="shared" si="0"/>
        <v>6</v>
      </c>
      <c r="AC21">
        <v>11</v>
      </c>
      <c r="AD21" s="30">
        <v>4</v>
      </c>
      <c r="AE21" s="30">
        <v>4</v>
      </c>
      <c r="AF21" s="30">
        <v>7</v>
      </c>
      <c r="AG21" s="30">
        <v>10</v>
      </c>
      <c r="AH21" s="30">
        <v>20</v>
      </c>
      <c r="AJ21" t="str">
        <f>Worksheet!$E$3</f>
        <v>0</v>
      </c>
      <c r="AK21" t="str">
        <f>Worksheet!R18</f>
        <v/>
      </c>
      <c r="AL21">
        <f t="shared" si="1"/>
        <v>4</v>
      </c>
    </row>
    <row r="22" spans="3:38" x14ac:dyDescent="0.25">
      <c r="C22">
        <v>88</v>
      </c>
      <c r="D22" s="30">
        <v>6</v>
      </c>
      <c r="E22">
        <v>20</v>
      </c>
      <c r="F22" s="30">
        <v>6</v>
      </c>
      <c r="G22">
        <v>44</v>
      </c>
      <c r="H22" s="30">
        <v>10</v>
      </c>
      <c r="I22">
        <v>88</v>
      </c>
      <c r="J22" s="30">
        <v>14</v>
      </c>
      <c r="K22">
        <v>176</v>
      </c>
      <c r="L22" s="30">
        <v>24</v>
      </c>
      <c r="R22">
        <v>12</v>
      </c>
      <c r="S22">
        <v>56</v>
      </c>
      <c r="T22">
        <v>14</v>
      </c>
      <c r="U22">
        <v>28</v>
      </c>
      <c r="V22">
        <v>56</v>
      </c>
      <c r="W22">
        <v>112</v>
      </c>
      <c r="Y22" t="str">
        <f>Worksheet!$E$3</f>
        <v>0</v>
      </c>
      <c r="Z22" t="str">
        <f>Worksheet!R19</f>
        <v/>
      </c>
      <c r="AA22">
        <f t="shared" si="0"/>
        <v>6</v>
      </c>
      <c r="AC22">
        <v>12</v>
      </c>
      <c r="AD22" s="30">
        <v>4</v>
      </c>
      <c r="AE22" s="30">
        <v>4</v>
      </c>
      <c r="AF22" s="30">
        <v>7</v>
      </c>
      <c r="AG22" s="30">
        <v>10</v>
      </c>
      <c r="AH22" s="30">
        <v>20</v>
      </c>
      <c r="AJ22" t="str">
        <f>Worksheet!$E$3</f>
        <v>0</v>
      </c>
      <c r="AK22" t="str">
        <f>Worksheet!R19</f>
        <v/>
      </c>
      <c r="AL22">
        <f t="shared" si="1"/>
        <v>4</v>
      </c>
    </row>
    <row r="23" spans="3:38" x14ac:dyDescent="0.25">
      <c r="C23">
        <v>104</v>
      </c>
      <c r="D23" s="30">
        <v>6</v>
      </c>
      <c r="E23">
        <v>25</v>
      </c>
      <c r="F23" s="30">
        <v>6</v>
      </c>
      <c r="G23">
        <v>52</v>
      </c>
      <c r="H23" s="30">
        <v>10</v>
      </c>
      <c r="I23">
        <v>104</v>
      </c>
      <c r="J23" s="30">
        <v>16</v>
      </c>
      <c r="K23">
        <v>200</v>
      </c>
      <c r="L23" s="30">
        <v>28</v>
      </c>
      <c r="R23">
        <v>13</v>
      </c>
      <c r="S23">
        <v>72</v>
      </c>
      <c r="T23">
        <v>18</v>
      </c>
      <c r="U23">
        <v>36</v>
      </c>
      <c r="V23">
        <v>72</v>
      </c>
      <c r="W23">
        <v>144</v>
      </c>
      <c r="Y23" t="str">
        <f>Worksheet!$E$3</f>
        <v>0</v>
      </c>
      <c r="Z23" t="str">
        <f>Worksheet!R20</f>
        <v/>
      </c>
      <c r="AA23">
        <f t="shared" si="0"/>
        <v>6</v>
      </c>
      <c r="AC23">
        <v>13</v>
      </c>
      <c r="AD23" s="30">
        <v>5</v>
      </c>
      <c r="AE23" s="30">
        <v>5</v>
      </c>
      <c r="AF23" s="30">
        <v>8</v>
      </c>
      <c r="AG23" s="30">
        <v>12</v>
      </c>
      <c r="AH23" s="30">
        <v>20</v>
      </c>
      <c r="AJ23" t="str">
        <f>Worksheet!$E$3</f>
        <v>0</v>
      </c>
      <c r="AK23" t="str">
        <f>Worksheet!R20</f>
        <v/>
      </c>
      <c r="AL23">
        <f t="shared" si="1"/>
        <v>4</v>
      </c>
    </row>
    <row r="24" spans="3:38" x14ac:dyDescent="0.25">
      <c r="C24">
        <v>120</v>
      </c>
      <c r="D24" s="30">
        <v>7</v>
      </c>
      <c r="E24">
        <v>30</v>
      </c>
      <c r="F24" s="30">
        <v>7</v>
      </c>
      <c r="G24">
        <v>60</v>
      </c>
      <c r="H24" s="30">
        <v>12</v>
      </c>
      <c r="I24">
        <v>120</v>
      </c>
      <c r="J24" s="30">
        <v>18</v>
      </c>
      <c r="K24">
        <v>240</v>
      </c>
      <c r="L24" s="30">
        <v>28</v>
      </c>
      <c r="R24">
        <v>16</v>
      </c>
      <c r="S24">
        <v>72</v>
      </c>
      <c r="T24">
        <v>18</v>
      </c>
      <c r="U24">
        <v>36</v>
      </c>
      <c r="V24">
        <v>72</v>
      </c>
      <c r="W24">
        <v>144</v>
      </c>
      <c r="Y24" t="str">
        <f>Worksheet!$E$3</f>
        <v>0</v>
      </c>
      <c r="Z24" t="str">
        <f>Worksheet!R21</f>
        <v/>
      </c>
      <c r="AA24">
        <f t="shared" si="0"/>
        <v>6</v>
      </c>
      <c r="AC24">
        <v>16</v>
      </c>
      <c r="AD24" s="30">
        <v>5</v>
      </c>
      <c r="AE24" s="30">
        <v>5</v>
      </c>
      <c r="AF24" s="30">
        <v>8</v>
      </c>
      <c r="AG24" s="30">
        <v>12</v>
      </c>
      <c r="AH24" s="30">
        <v>20</v>
      </c>
      <c r="AJ24" t="str">
        <f>Worksheet!$E$3</f>
        <v>0</v>
      </c>
      <c r="AK24" t="str">
        <f>Worksheet!R21</f>
        <v/>
      </c>
      <c r="AL24">
        <f t="shared" si="1"/>
        <v>4</v>
      </c>
    </row>
    <row r="25" spans="3:38" x14ac:dyDescent="0.25">
      <c r="C25">
        <v>136</v>
      </c>
      <c r="D25" s="30">
        <v>8</v>
      </c>
      <c r="E25">
        <v>34</v>
      </c>
      <c r="F25" s="30">
        <v>8</v>
      </c>
      <c r="G25">
        <v>68</v>
      </c>
      <c r="H25" s="30">
        <v>12</v>
      </c>
      <c r="I25">
        <v>136</v>
      </c>
      <c r="J25" s="30">
        <v>20</v>
      </c>
      <c r="K25">
        <v>260</v>
      </c>
      <c r="L25" s="30">
        <v>32</v>
      </c>
      <c r="R25">
        <v>17</v>
      </c>
      <c r="S25">
        <v>88</v>
      </c>
      <c r="T25">
        <v>20</v>
      </c>
      <c r="U25">
        <v>44</v>
      </c>
      <c r="V25">
        <v>88</v>
      </c>
      <c r="W25">
        <v>176</v>
      </c>
      <c r="Y25" t="str">
        <f>Worksheet!$E$3</f>
        <v>0</v>
      </c>
      <c r="Z25" t="str">
        <f>Worksheet!R22</f>
        <v/>
      </c>
      <c r="AA25">
        <f t="shared" si="0"/>
        <v>6</v>
      </c>
      <c r="AC25">
        <v>17</v>
      </c>
      <c r="AD25" s="30">
        <v>6</v>
      </c>
      <c r="AE25" s="30">
        <v>6</v>
      </c>
      <c r="AF25" s="30">
        <v>10</v>
      </c>
      <c r="AG25" s="30">
        <v>14</v>
      </c>
      <c r="AH25" s="30">
        <v>24</v>
      </c>
      <c r="AJ25" t="str">
        <f>Worksheet!$E$3</f>
        <v>0</v>
      </c>
      <c r="AK25" t="str">
        <f>Worksheet!R22</f>
        <v/>
      </c>
      <c r="AL25">
        <f t="shared" si="1"/>
        <v>4</v>
      </c>
    </row>
    <row r="26" spans="3:38" x14ac:dyDescent="0.25">
      <c r="C26">
        <v>152</v>
      </c>
      <c r="D26" s="30">
        <v>8</v>
      </c>
      <c r="E26">
        <v>38</v>
      </c>
      <c r="F26" s="30">
        <v>8</v>
      </c>
      <c r="G26">
        <v>76</v>
      </c>
      <c r="H26" s="30">
        <v>14</v>
      </c>
      <c r="I26">
        <v>152</v>
      </c>
      <c r="J26" s="30">
        <v>20</v>
      </c>
      <c r="K26">
        <v>300</v>
      </c>
      <c r="L26" s="30">
        <v>36</v>
      </c>
      <c r="R26">
        <v>20</v>
      </c>
      <c r="S26">
        <v>88</v>
      </c>
      <c r="T26">
        <v>20</v>
      </c>
      <c r="U26">
        <v>44</v>
      </c>
      <c r="V26">
        <v>88</v>
      </c>
      <c r="W26">
        <v>176</v>
      </c>
      <c r="Y26" t="str">
        <f>Worksheet!$E$3</f>
        <v>0</v>
      </c>
      <c r="Z26" t="str">
        <f>Worksheet!R23</f>
        <v/>
      </c>
      <c r="AA26">
        <f t="shared" si="0"/>
        <v>6</v>
      </c>
      <c r="AC26">
        <v>20</v>
      </c>
      <c r="AD26" s="30">
        <v>6</v>
      </c>
      <c r="AE26" s="30">
        <v>6</v>
      </c>
      <c r="AF26" s="30">
        <v>10</v>
      </c>
      <c r="AG26" s="30">
        <v>14</v>
      </c>
      <c r="AH26" s="30">
        <v>24</v>
      </c>
      <c r="AJ26" t="str">
        <f>Worksheet!$E$3</f>
        <v>0</v>
      </c>
      <c r="AK26" t="str">
        <f>Worksheet!R23</f>
        <v/>
      </c>
      <c r="AL26">
        <f t="shared" si="1"/>
        <v>4</v>
      </c>
    </row>
    <row r="27" spans="3:38" x14ac:dyDescent="0.25">
      <c r="C27">
        <v>160</v>
      </c>
      <c r="D27" s="30">
        <v>10</v>
      </c>
      <c r="E27">
        <v>40</v>
      </c>
      <c r="F27" s="30">
        <v>10</v>
      </c>
      <c r="G27">
        <v>80</v>
      </c>
      <c r="H27" s="30">
        <v>16</v>
      </c>
      <c r="I27">
        <v>168</v>
      </c>
      <c r="J27" s="30">
        <v>24</v>
      </c>
      <c r="K27">
        <v>320</v>
      </c>
      <c r="L27" s="30">
        <v>40</v>
      </c>
      <c r="R27">
        <v>21</v>
      </c>
      <c r="S27">
        <v>104</v>
      </c>
      <c r="T27">
        <v>25</v>
      </c>
      <c r="U27">
        <v>52</v>
      </c>
      <c r="V27">
        <v>104</v>
      </c>
      <c r="W27">
        <v>200</v>
      </c>
      <c r="Y27" t="str">
        <f>Worksheet!$E$3</f>
        <v>0</v>
      </c>
      <c r="Z27" t="str">
        <f>Worksheet!R24</f>
        <v/>
      </c>
      <c r="AA27">
        <f t="shared" si="0"/>
        <v>6</v>
      </c>
      <c r="AC27">
        <v>21</v>
      </c>
      <c r="AD27" s="30">
        <v>6</v>
      </c>
      <c r="AE27" s="30">
        <v>6</v>
      </c>
      <c r="AF27" s="30">
        <v>10</v>
      </c>
      <c r="AG27" s="30">
        <v>16</v>
      </c>
      <c r="AH27" s="30">
        <v>28</v>
      </c>
      <c r="AJ27" t="str">
        <f>Worksheet!$E$3</f>
        <v>0</v>
      </c>
      <c r="AK27" t="str">
        <f>Worksheet!R24</f>
        <v/>
      </c>
      <c r="AL27">
        <f t="shared" si="1"/>
        <v>4</v>
      </c>
    </row>
    <row r="28" spans="3:38" x14ac:dyDescent="0.25">
      <c r="R28">
        <v>24</v>
      </c>
      <c r="S28">
        <v>104</v>
      </c>
      <c r="T28">
        <v>25</v>
      </c>
      <c r="U28">
        <v>52</v>
      </c>
      <c r="V28">
        <v>104</v>
      </c>
      <c r="W28">
        <v>200</v>
      </c>
      <c r="Y28" t="str">
        <f>Worksheet!$E$3</f>
        <v>0</v>
      </c>
      <c r="Z28" t="str">
        <f>Worksheet!R25</f>
        <v/>
      </c>
      <c r="AA28">
        <f t="shared" si="0"/>
        <v>6</v>
      </c>
      <c r="AC28">
        <v>24</v>
      </c>
      <c r="AD28" s="30">
        <v>6</v>
      </c>
      <c r="AE28" s="30">
        <v>6</v>
      </c>
      <c r="AF28" s="30">
        <v>10</v>
      </c>
      <c r="AG28" s="30">
        <v>16</v>
      </c>
      <c r="AH28" s="30">
        <v>28</v>
      </c>
      <c r="AJ28" t="str">
        <f>Worksheet!$E$3</f>
        <v>0</v>
      </c>
      <c r="AK28" t="str">
        <f>Worksheet!R25</f>
        <v/>
      </c>
      <c r="AL28">
        <f t="shared" si="1"/>
        <v>4</v>
      </c>
    </row>
    <row r="29" spans="3:38" x14ac:dyDescent="0.25">
      <c r="R29">
        <v>25</v>
      </c>
      <c r="S29">
        <v>120</v>
      </c>
      <c r="T29">
        <v>30</v>
      </c>
      <c r="U29">
        <v>60</v>
      </c>
      <c r="V29">
        <v>120</v>
      </c>
      <c r="W29">
        <v>240</v>
      </c>
      <c r="Y29" t="str">
        <f>Worksheet!$E$3</f>
        <v>0</v>
      </c>
      <c r="Z29" t="str">
        <f>Worksheet!R26</f>
        <v/>
      </c>
      <c r="AA29">
        <f t="shared" si="0"/>
        <v>6</v>
      </c>
      <c r="AC29">
        <v>25</v>
      </c>
      <c r="AD29" s="30">
        <v>7</v>
      </c>
      <c r="AE29" s="30">
        <v>7</v>
      </c>
      <c r="AF29" s="30">
        <v>12</v>
      </c>
      <c r="AG29" s="30">
        <v>18</v>
      </c>
      <c r="AH29" s="30">
        <v>28</v>
      </c>
      <c r="AJ29" t="str">
        <f>Worksheet!$E$3</f>
        <v>0</v>
      </c>
      <c r="AK29" t="str">
        <f>Worksheet!R26</f>
        <v/>
      </c>
      <c r="AL29">
        <f t="shared" si="1"/>
        <v>4</v>
      </c>
    </row>
    <row r="30" spans="3:38" x14ac:dyDescent="0.25">
      <c r="R30">
        <v>28</v>
      </c>
      <c r="S30">
        <v>120</v>
      </c>
      <c r="T30">
        <v>30</v>
      </c>
      <c r="U30">
        <v>60</v>
      </c>
      <c r="V30">
        <v>120</v>
      </c>
      <c r="W30">
        <v>240</v>
      </c>
      <c r="Y30" t="str">
        <f>Worksheet!$E$3</f>
        <v>0</v>
      </c>
      <c r="Z30" t="str">
        <f>Worksheet!R27</f>
        <v/>
      </c>
      <c r="AA30">
        <f t="shared" si="0"/>
        <v>6</v>
      </c>
      <c r="AC30">
        <v>28</v>
      </c>
      <c r="AD30" s="30">
        <v>7</v>
      </c>
      <c r="AE30" s="30">
        <v>7</v>
      </c>
      <c r="AF30" s="30">
        <v>12</v>
      </c>
      <c r="AG30" s="30">
        <v>18</v>
      </c>
      <c r="AH30" s="30">
        <v>28</v>
      </c>
      <c r="AJ30" t="str">
        <f>Worksheet!$E$3</f>
        <v>0</v>
      </c>
      <c r="AK30" t="str">
        <f>Worksheet!R27</f>
        <v/>
      </c>
      <c r="AL30">
        <f t="shared" si="1"/>
        <v>4</v>
      </c>
    </row>
    <row r="31" spans="3:38" x14ac:dyDescent="0.25">
      <c r="R31">
        <v>29</v>
      </c>
      <c r="S31">
        <v>136</v>
      </c>
      <c r="T31">
        <v>34</v>
      </c>
      <c r="U31">
        <v>68</v>
      </c>
      <c r="V31">
        <v>136</v>
      </c>
      <c r="W31">
        <v>260</v>
      </c>
      <c r="Y31" t="str">
        <f>Worksheet!$E$3</f>
        <v>0</v>
      </c>
      <c r="Z31" t="str">
        <f>Worksheet!R28</f>
        <v/>
      </c>
      <c r="AA31">
        <f t="shared" si="0"/>
        <v>6</v>
      </c>
      <c r="AC31">
        <v>29</v>
      </c>
      <c r="AD31" s="30">
        <v>8</v>
      </c>
      <c r="AE31" s="30">
        <v>8</v>
      </c>
      <c r="AF31" s="30">
        <v>12</v>
      </c>
      <c r="AG31" s="30">
        <v>20</v>
      </c>
      <c r="AH31" s="30">
        <v>32</v>
      </c>
      <c r="AJ31" t="str">
        <f>Worksheet!$E$3</f>
        <v>0</v>
      </c>
      <c r="AK31" t="str">
        <f>Worksheet!R28</f>
        <v/>
      </c>
      <c r="AL31">
        <f t="shared" si="1"/>
        <v>4</v>
      </c>
    </row>
    <row r="32" spans="3:38" x14ac:dyDescent="0.25">
      <c r="R32">
        <v>32</v>
      </c>
      <c r="S32">
        <v>136</v>
      </c>
      <c r="T32">
        <v>34</v>
      </c>
      <c r="U32">
        <v>68</v>
      </c>
      <c r="V32">
        <v>136</v>
      </c>
      <c r="W32">
        <v>260</v>
      </c>
      <c r="Y32" t="str">
        <f>Worksheet!$E$3</f>
        <v>0</v>
      </c>
      <c r="Z32" t="str">
        <f>Worksheet!R29</f>
        <v/>
      </c>
      <c r="AA32">
        <f t="shared" si="0"/>
        <v>6</v>
      </c>
      <c r="AC32">
        <v>32</v>
      </c>
      <c r="AD32" s="30">
        <v>8</v>
      </c>
      <c r="AE32" s="30">
        <v>8</v>
      </c>
      <c r="AF32" s="30">
        <v>12</v>
      </c>
      <c r="AG32" s="30">
        <v>20</v>
      </c>
      <c r="AH32" s="30">
        <v>32</v>
      </c>
      <c r="AJ32" t="str">
        <f>Worksheet!$E$3</f>
        <v>0</v>
      </c>
      <c r="AK32" t="str">
        <f>Worksheet!R29</f>
        <v/>
      </c>
      <c r="AL32">
        <f t="shared" si="1"/>
        <v>4</v>
      </c>
    </row>
    <row r="33" spans="18:38" x14ac:dyDescent="0.25">
      <c r="R33">
        <v>33</v>
      </c>
      <c r="S33">
        <v>152</v>
      </c>
      <c r="T33">
        <v>38</v>
      </c>
      <c r="U33">
        <v>76</v>
      </c>
      <c r="V33">
        <v>152</v>
      </c>
      <c r="W33">
        <v>300</v>
      </c>
      <c r="Y33" t="str">
        <f>Worksheet!$E$3</f>
        <v>0</v>
      </c>
      <c r="Z33" t="str">
        <f>Worksheet!R30</f>
        <v/>
      </c>
      <c r="AA33">
        <f t="shared" si="0"/>
        <v>6</v>
      </c>
      <c r="AC33">
        <v>33</v>
      </c>
      <c r="AD33" s="30">
        <v>8</v>
      </c>
      <c r="AE33" s="30">
        <v>8</v>
      </c>
      <c r="AF33" s="30">
        <v>14</v>
      </c>
      <c r="AG33" s="30">
        <v>20</v>
      </c>
      <c r="AH33" s="30">
        <v>36</v>
      </c>
      <c r="AJ33" t="str">
        <f>Worksheet!$E$3</f>
        <v>0</v>
      </c>
      <c r="AK33" t="str">
        <f>Worksheet!R30</f>
        <v/>
      </c>
      <c r="AL33">
        <f t="shared" si="1"/>
        <v>4</v>
      </c>
    </row>
    <row r="34" spans="18:38" x14ac:dyDescent="0.25">
      <c r="R34">
        <v>36</v>
      </c>
      <c r="S34">
        <v>152</v>
      </c>
      <c r="T34">
        <v>38</v>
      </c>
      <c r="U34">
        <v>76</v>
      </c>
      <c r="V34">
        <v>152</v>
      </c>
      <c r="W34">
        <v>300</v>
      </c>
      <c r="Y34" t="str">
        <f>Worksheet!$E$3</f>
        <v>0</v>
      </c>
      <c r="Z34" t="str">
        <f>Worksheet!R31</f>
        <v/>
      </c>
      <c r="AA34">
        <f t="shared" si="0"/>
        <v>6</v>
      </c>
      <c r="AC34">
        <v>36</v>
      </c>
      <c r="AD34" s="30">
        <v>8</v>
      </c>
      <c r="AE34" s="30">
        <v>8</v>
      </c>
      <c r="AF34" s="30">
        <v>14</v>
      </c>
      <c r="AG34" s="30">
        <v>20</v>
      </c>
      <c r="AH34" s="30">
        <v>36</v>
      </c>
      <c r="AJ34" t="str">
        <f>Worksheet!$E$3</f>
        <v>0</v>
      </c>
      <c r="AK34" t="str">
        <f>Worksheet!R31</f>
        <v/>
      </c>
      <c r="AL34">
        <f t="shared" si="1"/>
        <v>4</v>
      </c>
    </row>
    <row r="35" spans="18:38" x14ac:dyDescent="0.25">
      <c r="R35">
        <v>37</v>
      </c>
      <c r="S35">
        <v>160</v>
      </c>
      <c r="T35">
        <v>40</v>
      </c>
      <c r="U35">
        <v>80</v>
      </c>
      <c r="V35">
        <v>168</v>
      </c>
      <c r="W35">
        <v>320</v>
      </c>
      <c r="Y35" t="str">
        <f>Worksheet!$E$3</f>
        <v>0</v>
      </c>
      <c r="Z35" t="str">
        <f>Worksheet!R32</f>
        <v/>
      </c>
      <c r="AA35">
        <f t="shared" si="0"/>
        <v>6</v>
      </c>
      <c r="AC35">
        <v>37</v>
      </c>
      <c r="AD35" s="30">
        <v>10</v>
      </c>
      <c r="AE35" s="30">
        <v>10</v>
      </c>
      <c r="AF35" s="30">
        <v>16</v>
      </c>
      <c r="AG35" s="30">
        <v>24</v>
      </c>
      <c r="AH35" s="30">
        <v>40</v>
      </c>
      <c r="AJ35" t="str">
        <f>Worksheet!$E$3</f>
        <v>0</v>
      </c>
      <c r="AK35" t="str">
        <f>Worksheet!R32</f>
        <v/>
      </c>
      <c r="AL35">
        <f t="shared" si="1"/>
        <v>4</v>
      </c>
    </row>
    <row r="36" spans="18:38" x14ac:dyDescent="0.25">
      <c r="R36">
        <v>40</v>
      </c>
      <c r="S36">
        <v>160</v>
      </c>
      <c r="T36">
        <v>40</v>
      </c>
      <c r="U36">
        <v>80</v>
      </c>
      <c r="V36">
        <v>168</v>
      </c>
      <c r="W36">
        <v>320</v>
      </c>
      <c r="Y36" t="str">
        <f>Worksheet!$E$3</f>
        <v>0</v>
      </c>
      <c r="Z36" t="str">
        <f>Worksheet!R33</f>
        <v/>
      </c>
      <c r="AA36">
        <f t="shared" si="0"/>
        <v>6</v>
      </c>
      <c r="AC36">
        <v>40</v>
      </c>
      <c r="AD36" s="30">
        <v>10</v>
      </c>
      <c r="AE36" s="30">
        <v>10</v>
      </c>
      <c r="AF36" s="30">
        <v>16</v>
      </c>
      <c r="AG36" s="30">
        <v>24</v>
      </c>
      <c r="AH36" s="30">
        <v>40</v>
      </c>
      <c r="AJ36" t="str">
        <f>Worksheet!$E$3</f>
        <v>0</v>
      </c>
      <c r="AK36" t="str">
        <f>Worksheet!R33</f>
        <v/>
      </c>
      <c r="AL36">
        <f t="shared" si="1"/>
        <v>4</v>
      </c>
    </row>
    <row r="37" spans="18:38" x14ac:dyDescent="0.25">
      <c r="Y37" t="str">
        <f>Worksheet!$E$3</f>
        <v>0</v>
      </c>
      <c r="Z37" t="str">
        <f>Worksheet!R34</f>
        <v/>
      </c>
      <c r="AA37">
        <f t="shared" si="0"/>
        <v>6</v>
      </c>
      <c r="AJ37" t="str">
        <f>Worksheet!$E$3</f>
        <v>0</v>
      </c>
      <c r="AK37" t="str">
        <f>Worksheet!R34</f>
        <v/>
      </c>
      <c r="AL37">
        <f t="shared" si="1"/>
        <v>4</v>
      </c>
    </row>
    <row r="38" spans="18:38" x14ac:dyDescent="0.25">
      <c r="Y38" t="str">
        <f>Worksheet!$E$3</f>
        <v>0</v>
      </c>
      <c r="Z38" t="str">
        <f>Worksheet!R35</f>
        <v/>
      </c>
      <c r="AA38">
        <f t="shared" si="0"/>
        <v>6</v>
      </c>
      <c r="AJ38" t="str">
        <f>Worksheet!$E$3</f>
        <v>0</v>
      </c>
      <c r="AK38" t="str">
        <f>Worksheet!R35</f>
        <v/>
      </c>
      <c r="AL38">
        <f t="shared" si="1"/>
        <v>4</v>
      </c>
    </row>
    <row r="39" spans="18:38" x14ac:dyDescent="0.25">
      <c r="Y39" t="str">
        <f>Worksheet!$E$3</f>
        <v>0</v>
      </c>
      <c r="Z39" t="str">
        <f>Worksheet!R36</f>
        <v/>
      </c>
      <c r="AA39">
        <f t="shared" si="0"/>
        <v>6</v>
      </c>
      <c r="AJ39" t="str">
        <f>Worksheet!$E$3</f>
        <v>0</v>
      </c>
      <c r="AK39" t="str">
        <f>Worksheet!R36</f>
        <v/>
      </c>
      <c r="AL39">
        <f t="shared" si="1"/>
        <v>4</v>
      </c>
    </row>
    <row r="40" spans="18:38" x14ac:dyDescent="0.25">
      <c r="Y40" t="str">
        <f>Worksheet!$E$3</f>
        <v>0</v>
      </c>
      <c r="Z40" t="str">
        <f>Worksheet!R37</f>
        <v/>
      </c>
      <c r="AA40">
        <f t="shared" si="0"/>
        <v>6</v>
      </c>
      <c r="AJ40" t="str">
        <f>Worksheet!$E$3</f>
        <v>0</v>
      </c>
      <c r="AK40" t="str">
        <f>Worksheet!R37</f>
        <v/>
      </c>
      <c r="AL40">
        <f t="shared" si="1"/>
        <v>4</v>
      </c>
    </row>
    <row r="41" spans="18:38" x14ac:dyDescent="0.25">
      <c r="Y41" t="str">
        <f>Worksheet!$E$3</f>
        <v>0</v>
      </c>
      <c r="Z41" t="str">
        <f>Worksheet!R38</f>
        <v/>
      </c>
      <c r="AA41">
        <f t="shared" si="0"/>
        <v>6</v>
      </c>
      <c r="AJ41" t="str">
        <f>Worksheet!$E$3</f>
        <v>0</v>
      </c>
      <c r="AK41" t="str">
        <f>Worksheet!R38</f>
        <v/>
      </c>
      <c r="AL41">
        <f t="shared" si="1"/>
        <v>4</v>
      </c>
    </row>
    <row r="42" spans="18:38" x14ac:dyDescent="0.25">
      <c r="Y42" t="str">
        <f>Worksheet!$E$3</f>
        <v>0</v>
      </c>
      <c r="Z42" t="str">
        <f>Worksheet!R39</f>
        <v/>
      </c>
      <c r="AA42">
        <f t="shared" si="0"/>
        <v>6</v>
      </c>
      <c r="AJ42" t="str">
        <f>Worksheet!$E$3</f>
        <v>0</v>
      </c>
      <c r="AK42" t="str">
        <f>Worksheet!R39</f>
        <v/>
      </c>
      <c r="AL42">
        <f t="shared" si="1"/>
        <v>4</v>
      </c>
    </row>
    <row r="43" spans="18:38" x14ac:dyDescent="0.25">
      <c r="Y43" t="str">
        <f>Worksheet!$E$3</f>
        <v>0</v>
      </c>
      <c r="Z43" t="str">
        <f>Worksheet!R40</f>
        <v/>
      </c>
      <c r="AA43">
        <f t="shared" si="0"/>
        <v>6</v>
      </c>
      <c r="AJ43" t="str">
        <f>Worksheet!$E$3</f>
        <v>0</v>
      </c>
      <c r="AK43" t="str">
        <f>Worksheet!R40</f>
        <v/>
      </c>
      <c r="AL43">
        <f t="shared" si="1"/>
        <v>4</v>
      </c>
    </row>
    <row r="44" spans="18:38" x14ac:dyDescent="0.25">
      <c r="Y44" t="str">
        <f>Worksheet!$E$3</f>
        <v>0</v>
      </c>
      <c r="Z44" t="str">
        <f>Worksheet!R41</f>
        <v/>
      </c>
      <c r="AA44">
        <f t="shared" si="0"/>
        <v>6</v>
      </c>
      <c r="AJ44" t="str">
        <f>Worksheet!$E$3</f>
        <v>0</v>
      </c>
      <c r="AK44" t="str">
        <f>Worksheet!R41</f>
        <v/>
      </c>
      <c r="AL44">
        <f t="shared" si="1"/>
        <v>4</v>
      </c>
    </row>
    <row r="45" spans="18:38" x14ac:dyDescent="0.25">
      <c r="Y45" t="str">
        <f>Worksheet!$E$3</f>
        <v>0</v>
      </c>
      <c r="Z45" t="str">
        <f>Worksheet!R42</f>
        <v/>
      </c>
      <c r="AA45">
        <f t="shared" si="0"/>
        <v>6</v>
      </c>
      <c r="AJ45" t="str">
        <f>Worksheet!$E$3</f>
        <v>0</v>
      </c>
      <c r="AK45" t="str">
        <f>Worksheet!R42</f>
        <v/>
      </c>
      <c r="AL45">
        <f t="shared" si="1"/>
        <v>4</v>
      </c>
    </row>
    <row r="46" spans="18:38" x14ac:dyDescent="0.25">
      <c r="Y46" t="str">
        <f>Worksheet!$E$3</f>
        <v>0</v>
      </c>
      <c r="Z46" t="str">
        <f>Worksheet!R43</f>
        <v/>
      </c>
      <c r="AA46">
        <f t="shared" si="0"/>
        <v>6</v>
      </c>
      <c r="AJ46" t="str">
        <f>Worksheet!$E$3</f>
        <v>0</v>
      </c>
      <c r="AK46" t="str">
        <f>Worksheet!R43</f>
        <v/>
      </c>
      <c r="AL46">
        <f t="shared" si="1"/>
        <v>4</v>
      </c>
    </row>
    <row r="47" spans="18:38" x14ac:dyDescent="0.25">
      <c r="Y47" t="str">
        <f>Worksheet!$E$3</f>
        <v>0</v>
      </c>
      <c r="Z47" t="str">
        <f>Worksheet!R44</f>
        <v/>
      </c>
      <c r="AA47">
        <f t="shared" si="0"/>
        <v>6</v>
      </c>
      <c r="AJ47" t="str">
        <f>Worksheet!$E$3</f>
        <v>0</v>
      </c>
      <c r="AK47" t="str">
        <f>Worksheet!R44</f>
        <v/>
      </c>
      <c r="AL47">
        <f t="shared" si="1"/>
        <v>4</v>
      </c>
    </row>
    <row r="48" spans="18:38" x14ac:dyDescent="0.25">
      <c r="Y48" t="str">
        <f>Worksheet!$E$3</f>
        <v>0</v>
      </c>
      <c r="Z48" t="str">
        <f>Worksheet!R45</f>
        <v/>
      </c>
      <c r="AA48">
        <f t="shared" si="0"/>
        <v>6</v>
      </c>
      <c r="AJ48" t="str">
        <f>Worksheet!$E$3</f>
        <v>0</v>
      </c>
      <c r="AK48" t="str">
        <f>Worksheet!R45</f>
        <v/>
      </c>
      <c r="AL48">
        <f t="shared" si="1"/>
        <v>4</v>
      </c>
    </row>
    <row r="49" spans="25:38" x14ac:dyDescent="0.25">
      <c r="Y49" t="str">
        <f>Worksheet!$E$3</f>
        <v>0</v>
      </c>
      <c r="Z49" t="str">
        <f>Worksheet!R46</f>
        <v/>
      </c>
      <c r="AA49">
        <f t="shared" si="0"/>
        <v>6</v>
      </c>
      <c r="AJ49" t="str">
        <f>Worksheet!$E$3</f>
        <v>0</v>
      </c>
      <c r="AK49" t="str">
        <f>Worksheet!R46</f>
        <v/>
      </c>
      <c r="AL49">
        <f t="shared" si="1"/>
        <v>4</v>
      </c>
    </row>
    <row r="50" spans="25:38" x14ac:dyDescent="0.25">
      <c r="Y50" t="str">
        <f>Worksheet!$E$3</f>
        <v>0</v>
      </c>
      <c r="Z50" t="str">
        <f>Worksheet!R47</f>
        <v/>
      </c>
      <c r="AA50">
        <f t="shared" si="0"/>
        <v>6</v>
      </c>
      <c r="AJ50" t="str">
        <f>Worksheet!$E$3</f>
        <v>0</v>
      </c>
      <c r="AK50" t="str">
        <f>Worksheet!R47</f>
        <v/>
      </c>
      <c r="AL50">
        <f t="shared" si="1"/>
        <v>4</v>
      </c>
    </row>
    <row r="51" spans="25:38" x14ac:dyDescent="0.25">
      <c r="Y51" t="str">
        <f>Worksheet!$E$3</f>
        <v>0</v>
      </c>
      <c r="Z51" t="str">
        <f>Worksheet!R48</f>
        <v/>
      </c>
      <c r="AA51">
        <f t="shared" si="0"/>
        <v>6</v>
      </c>
      <c r="AJ51" t="str">
        <f>Worksheet!$E$3</f>
        <v>0</v>
      </c>
      <c r="AK51" t="str">
        <f>Worksheet!R48</f>
        <v/>
      </c>
      <c r="AL51">
        <f t="shared" si="1"/>
        <v>4</v>
      </c>
    </row>
    <row r="52" spans="25:38" x14ac:dyDescent="0.25">
      <c r="Y52" t="str">
        <f>Worksheet!$E$3</f>
        <v>0</v>
      </c>
      <c r="Z52" t="str">
        <f>Worksheet!R49</f>
        <v/>
      </c>
      <c r="AA52">
        <f t="shared" si="0"/>
        <v>6</v>
      </c>
      <c r="AJ52" t="str">
        <f>Worksheet!$E$3</f>
        <v>0</v>
      </c>
      <c r="AK52" t="str">
        <f>Worksheet!R49</f>
        <v/>
      </c>
      <c r="AL52">
        <f t="shared" si="1"/>
        <v>4</v>
      </c>
    </row>
    <row r="53" spans="25:38" x14ac:dyDescent="0.25">
      <c r="Y53" t="str">
        <f>Worksheet!$E$3</f>
        <v>0</v>
      </c>
      <c r="Z53" t="str">
        <f>Worksheet!R50</f>
        <v/>
      </c>
      <c r="AA53">
        <f t="shared" si="0"/>
        <v>6</v>
      </c>
      <c r="AJ53" t="str">
        <f>Worksheet!$E$3</f>
        <v>0</v>
      </c>
      <c r="AK53" t="str">
        <f>Worksheet!R50</f>
        <v/>
      </c>
      <c r="AL53">
        <f t="shared" si="1"/>
        <v>4</v>
      </c>
    </row>
    <row r="54" spans="25:38" x14ac:dyDescent="0.25">
      <c r="Y54" t="str">
        <f>Worksheet!$E$3</f>
        <v>0</v>
      </c>
      <c r="Z54" t="str">
        <f>Worksheet!R51</f>
        <v/>
      </c>
      <c r="AA54">
        <f t="shared" si="0"/>
        <v>6</v>
      </c>
      <c r="AJ54" t="str">
        <f>Worksheet!$E$3</f>
        <v>0</v>
      </c>
      <c r="AK54" t="str">
        <f>Worksheet!R51</f>
        <v/>
      </c>
      <c r="AL54">
        <f t="shared" si="1"/>
        <v>4</v>
      </c>
    </row>
    <row r="55" spans="25:38" x14ac:dyDescent="0.25">
      <c r="Y55" t="str">
        <f>Worksheet!$E$3</f>
        <v>0</v>
      </c>
      <c r="Z55" t="str">
        <f>Worksheet!R52</f>
        <v/>
      </c>
      <c r="AA55">
        <f t="shared" si="0"/>
        <v>6</v>
      </c>
      <c r="AJ55" t="str">
        <f>Worksheet!$E$3</f>
        <v>0</v>
      </c>
      <c r="AK55" t="str">
        <f>Worksheet!R52</f>
        <v/>
      </c>
      <c r="AL55">
        <f t="shared" si="1"/>
        <v>4</v>
      </c>
    </row>
    <row r="56" spans="25:38" x14ac:dyDescent="0.25">
      <c r="Y56" t="str">
        <f>Worksheet!$E$3</f>
        <v>0</v>
      </c>
      <c r="Z56" t="str">
        <f>Worksheet!R53</f>
        <v/>
      </c>
      <c r="AA56">
        <f t="shared" si="0"/>
        <v>6</v>
      </c>
      <c r="AJ56" t="str">
        <f>Worksheet!$E$3</f>
        <v>0</v>
      </c>
      <c r="AK56" t="str">
        <f>Worksheet!R53</f>
        <v/>
      </c>
      <c r="AL56">
        <f t="shared" si="1"/>
        <v>4</v>
      </c>
    </row>
    <row r="57" spans="25:38" x14ac:dyDescent="0.25">
      <c r="Y57" t="str">
        <f>Worksheet!$E$3</f>
        <v>0</v>
      </c>
      <c r="Z57" t="str">
        <f>Worksheet!R54</f>
        <v/>
      </c>
      <c r="AA57">
        <f t="shared" si="0"/>
        <v>6</v>
      </c>
      <c r="AJ57" t="str">
        <f>Worksheet!$E$3</f>
        <v>0</v>
      </c>
      <c r="AK57" t="str">
        <f>Worksheet!R54</f>
        <v/>
      </c>
      <c r="AL57">
        <f t="shared" si="1"/>
        <v>4</v>
      </c>
    </row>
    <row r="58" spans="25:38" x14ac:dyDescent="0.25">
      <c r="Y58" t="str">
        <f>Worksheet!$E$3</f>
        <v>0</v>
      </c>
      <c r="Z58" t="str">
        <f>Worksheet!R55</f>
        <v/>
      </c>
      <c r="AA58">
        <f t="shared" si="0"/>
        <v>6</v>
      </c>
      <c r="AJ58" t="str">
        <f>Worksheet!$E$3</f>
        <v>0</v>
      </c>
      <c r="AK58" t="str">
        <f>Worksheet!R55</f>
        <v/>
      </c>
      <c r="AL58">
        <f t="shared" si="1"/>
        <v>4</v>
      </c>
    </row>
    <row r="59" spans="25:38" x14ac:dyDescent="0.25">
      <c r="Y59" t="str">
        <f>Worksheet!$E$3</f>
        <v>0</v>
      </c>
      <c r="Z59" t="str">
        <f>Worksheet!R56</f>
        <v/>
      </c>
      <c r="AA59">
        <f t="shared" si="0"/>
        <v>6</v>
      </c>
      <c r="AJ59" t="str">
        <f>Worksheet!$E$3</f>
        <v>0</v>
      </c>
      <c r="AK59" t="str">
        <f>Worksheet!R56</f>
        <v/>
      </c>
      <c r="AL59">
        <f t="shared" si="1"/>
        <v>4</v>
      </c>
    </row>
    <row r="60" spans="25:38" x14ac:dyDescent="0.25">
      <c r="Y60" t="str">
        <f>Worksheet!$E$3</f>
        <v>0</v>
      </c>
      <c r="Z60" t="str">
        <f>Worksheet!R57</f>
        <v/>
      </c>
      <c r="AA60">
        <f t="shared" si="0"/>
        <v>6</v>
      </c>
      <c r="AJ60" t="str">
        <f>Worksheet!$E$3</f>
        <v>0</v>
      </c>
      <c r="AK60" t="str">
        <f>Worksheet!R57</f>
        <v/>
      </c>
      <c r="AL60">
        <f t="shared" si="1"/>
        <v>4</v>
      </c>
    </row>
    <row r="61" spans="25:38" x14ac:dyDescent="0.25">
      <c r="Y61" t="str">
        <f>Worksheet!$E$3</f>
        <v>0</v>
      </c>
      <c r="Z61" t="str">
        <f>Worksheet!R58</f>
        <v/>
      </c>
      <c r="AA61">
        <f t="shared" si="0"/>
        <v>6</v>
      </c>
      <c r="AJ61" t="str">
        <f>Worksheet!$E$3</f>
        <v>0</v>
      </c>
      <c r="AK61" t="str">
        <f>Worksheet!R58</f>
        <v/>
      </c>
      <c r="AL61">
        <f t="shared" si="1"/>
        <v>4</v>
      </c>
    </row>
    <row r="62" spans="25:38" x14ac:dyDescent="0.25">
      <c r="Y62" t="str">
        <f>Worksheet!$E$3</f>
        <v>0</v>
      </c>
      <c r="Z62" t="str">
        <f>Worksheet!R59</f>
        <v/>
      </c>
      <c r="AA62">
        <f t="shared" si="0"/>
        <v>6</v>
      </c>
      <c r="AJ62" t="str">
        <f>Worksheet!$E$3</f>
        <v>0</v>
      </c>
      <c r="AK62" t="str">
        <f>Worksheet!R59</f>
        <v/>
      </c>
      <c r="AL62">
        <f t="shared" si="1"/>
        <v>4</v>
      </c>
    </row>
    <row r="63" spans="25:38" x14ac:dyDescent="0.25">
      <c r="Y63" t="str">
        <f>Worksheet!$E$3</f>
        <v>0</v>
      </c>
      <c r="Z63" t="str">
        <f>Worksheet!R60</f>
        <v/>
      </c>
      <c r="AA63">
        <f t="shared" si="0"/>
        <v>6</v>
      </c>
      <c r="AJ63" t="str">
        <f>Worksheet!$E$3</f>
        <v>0</v>
      </c>
      <c r="AK63" t="str">
        <f>Worksheet!R60</f>
        <v/>
      </c>
      <c r="AL63">
        <f t="shared" si="1"/>
        <v>4</v>
      </c>
    </row>
    <row r="64" spans="25:38" x14ac:dyDescent="0.25">
      <c r="Y64" t="str">
        <f>Worksheet!$E$3</f>
        <v>0</v>
      </c>
      <c r="Z64" t="str">
        <f>Worksheet!R61</f>
        <v/>
      </c>
      <c r="AA64">
        <f t="shared" si="0"/>
        <v>6</v>
      </c>
      <c r="AJ64" t="str">
        <f>Worksheet!$E$3</f>
        <v>0</v>
      </c>
      <c r="AK64" t="str">
        <f>Worksheet!R61</f>
        <v/>
      </c>
      <c r="AL64">
        <f t="shared" si="1"/>
        <v>4</v>
      </c>
    </row>
    <row r="65" spans="25:38" x14ac:dyDescent="0.25">
      <c r="Y65" t="str">
        <f>Worksheet!$E$3</f>
        <v>0</v>
      </c>
      <c r="Z65" t="str">
        <f>Worksheet!R62</f>
        <v/>
      </c>
      <c r="AA65">
        <f t="shared" si="0"/>
        <v>6</v>
      </c>
      <c r="AJ65" t="str">
        <f>Worksheet!$E$3</f>
        <v>0</v>
      </c>
      <c r="AK65" t="str">
        <f>Worksheet!R62</f>
        <v/>
      </c>
      <c r="AL65">
        <f t="shared" si="1"/>
        <v>4</v>
      </c>
    </row>
    <row r="66" spans="25:38" x14ac:dyDescent="0.25">
      <c r="Y66" t="str">
        <f>Worksheet!$E$3</f>
        <v>0</v>
      </c>
      <c r="Z66" t="str">
        <f>Worksheet!R63</f>
        <v/>
      </c>
      <c r="AA66">
        <f t="shared" si="0"/>
        <v>6</v>
      </c>
      <c r="AJ66" t="str">
        <f>Worksheet!$E$3</f>
        <v>0</v>
      </c>
      <c r="AK66" t="str">
        <f>Worksheet!R63</f>
        <v/>
      </c>
      <c r="AL66">
        <f t="shared" si="1"/>
        <v>4</v>
      </c>
    </row>
    <row r="67" spans="25:38" x14ac:dyDescent="0.25">
      <c r="Y67" t="str">
        <f>Worksheet!$E$3</f>
        <v>0</v>
      </c>
      <c r="Z67" t="str">
        <f>Worksheet!R64</f>
        <v/>
      </c>
      <c r="AA67">
        <f t="shared" si="0"/>
        <v>6</v>
      </c>
      <c r="AJ67" t="str">
        <f>Worksheet!$E$3</f>
        <v>0</v>
      </c>
      <c r="AK67" t="str">
        <f>Worksheet!R64</f>
        <v/>
      </c>
      <c r="AL67">
        <f t="shared" si="1"/>
        <v>4</v>
      </c>
    </row>
    <row r="68" spans="25:38" x14ac:dyDescent="0.25">
      <c r="Y68" t="str">
        <f>Worksheet!$E$3</f>
        <v>0</v>
      </c>
      <c r="Z68" t="str">
        <f>Worksheet!R65</f>
        <v/>
      </c>
      <c r="AA68">
        <f t="shared" si="0"/>
        <v>6</v>
      </c>
      <c r="AJ68" t="str">
        <f>Worksheet!$E$3</f>
        <v>0</v>
      </c>
      <c r="AK68" t="str">
        <f>Worksheet!R65</f>
        <v/>
      </c>
      <c r="AL68">
        <f t="shared" si="1"/>
        <v>4</v>
      </c>
    </row>
    <row r="69" spans="25:38" x14ac:dyDescent="0.25">
      <c r="Y69" t="str">
        <f>Worksheet!$E$3</f>
        <v>0</v>
      </c>
      <c r="Z69" t="str">
        <f>Worksheet!R66</f>
        <v/>
      </c>
      <c r="AA69">
        <f t="shared" si="0"/>
        <v>6</v>
      </c>
      <c r="AJ69" t="str">
        <f>Worksheet!$E$3</f>
        <v>0</v>
      </c>
      <c r="AK69" t="str">
        <f>Worksheet!R66</f>
        <v/>
      </c>
      <c r="AL69">
        <f t="shared" si="1"/>
        <v>4</v>
      </c>
    </row>
    <row r="70" spans="25:38" x14ac:dyDescent="0.25">
      <c r="Y70" t="str">
        <f>Worksheet!$E$3</f>
        <v>0</v>
      </c>
      <c r="Z70" t="str">
        <f>Worksheet!R67</f>
        <v/>
      </c>
      <c r="AA70">
        <f t="shared" si="0"/>
        <v>6</v>
      </c>
      <c r="AJ70" t="str">
        <f>Worksheet!$E$3</f>
        <v>0</v>
      </c>
      <c r="AK70" t="str">
        <f>Worksheet!R67</f>
        <v/>
      </c>
      <c r="AL70">
        <f t="shared" si="1"/>
        <v>4</v>
      </c>
    </row>
    <row r="71" spans="25:38" x14ac:dyDescent="0.25">
      <c r="Y71" t="str">
        <f>Worksheet!$E$3</f>
        <v>0</v>
      </c>
      <c r="Z71" t="str">
        <f>Worksheet!R68</f>
        <v/>
      </c>
      <c r="AA71">
        <f t="shared" si="0"/>
        <v>6</v>
      </c>
      <c r="AJ71" t="str">
        <f>Worksheet!$E$3</f>
        <v>0</v>
      </c>
      <c r="AK71" t="str">
        <f>Worksheet!R68</f>
        <v/>
      </c>
      <c r="AL71">
        <f t="shared" si="1"/>
        <v>4</v>
      </c>
    </row>
    <row r="72" spans="25:38" x14ac:dyDescent="0.25">
      <c r="Y72" t="str">
        <f>Worksheet!$E$3</f>
        <v>0</v>
      </c>
      <c r="Z72" t="str">
        <f>Worksheet!R69</f>
        <v/>
      </c>
      <c r="AA72">
        <f t="shared" si="0"/>
        <v>6</v>
      </c>
      <c r="AJ72" t="str">
        <f>Worksheet!$E$3</f>
        <v>0</v>
      </c>
      <c r="AK72" t="str">
        <f>Worksheet!R69</f>
        <v/>
      </c>
      <c r="AL72">
        <f t="shared" si="1"/>
        <v>4</v>
      </c>
    </row>
    <row r="73" spans="25:38" x14ac:dyDescent="0.25">
      <c r="Y73" t="str">
        <f>Worksheet!$E$3</f>
        <v>0</v>
      </c>
      <c r="Z73" t="str">
        <f>Worksheet!R70</f>
        <v/>
      </c>
      <c r="AA73">
        <f t="shared" si="0"/>
        <v>6</v>
      </c>
      <c r="AJ73" t="str">
        <f>Worksheet!$E$3</f>
        <v>0</v>
      </c>
      <c r="AK73" t="str">
        <f>Worksheet!R70</f>
        <v/>
      </c>
      <c r="AL73">
        <f t="shared" si="1"/>
        <v>4</v>
      </c>
    </row>
    <row r="74" spans="25:38" x14ac:dyDescent="0.25">
      <c r="Y74" t="str">
        <f>Worksheet!$E$3</f>
        <v>0</v>
      </c>
      <c r="Z74" t="str">
        <f>Worksheet!R71</f>
        <v/>
      </c>
      <c r="AA74">
        <f t="shared" ref="AA74:AA137" si="2">HLOOKUP(Y74,$R$8:$W$36,COUNTIF($R$9:$R$36,"&lt;"&amp;Z74)+2,FALSE)</f>
        <v>6</v>
      </c>
      <c r="AJ74" t="str">
        <f>Worksheet!$E$3</f>
        <v>0</v>
      </c>
      <c r="AK74" t="str">
        <f>Worksheet!R71</f>
        <v/>
      </c>
      <c r="AL74">
        <f t="shared" ref="AL74:AL137" si="3">HLOOKUP(AJ74,$AC$8:$AH$36,COUNTIF($AC$9:$AC$36,"&lt;"&amp;AK74)+2,FALSE)</f>
        <v>4</v>
      </c>
    </row>
    <row r="75" spans="25:38" x14ac:dyDescent="0.25">
      <c r="Y75" t="str">
        <f>Worksheet!$E$3</f>
        <v>0</v>
      </c>
      <c r="Z75" t="str">
        <f>Worksheet!R72</f>
        <v/>
      </c>
      <c r="AA75">
        <f t="shared" si="2"/>
        <v>6</v>
      </c>
      <c r="AJ75" t="str">
        <f>Worksheet!$E$3</f>
        <v>0</v>
      </c>
      <c r="AK75" t="str">
        <f>Worksheet!R72</f>
        <v/>
      </c>
      <c r="AL75">
        <f t="shared" si="3"/>
        <v>4</v>
      </c>
    </row>
    <row r="76" spans="25:38" x14ac:dyDescent="0.25">
      <c r="Y76" t="str">
        <f>Worksheet!$E$3</f>
        <v>0</v>
      </c>
      <c r="Z76" t="str">
        <f>Worksheet!R73</f>
        <v/>
      </c>
      <c r="AA76">
        <f t="shared" si="2"/>
        <v>6</v>
      </c>
      <c r="AJ76" t="str">
        <f>Worksheet!$E$3</f>
        <v>0</v>
      </c>
      <c r="AK76" t="str">
        <f>Worksheet!R73</f>
        <v/>
      </c>
      <c r="AL76">
        <f t="shared" si="3"/>
        <v>4</v>
      </c>
    </row>
    <row r="77" spans="25:38" x14ac:dyDescent="0.25">
      <c r="Y77" t="str">
        <f>Worksheet!$E$3</f>
        <v>0</v>
      </c>
      <c r="Z77" t="str">
        <f>Worksheet!R74</f>
        <v/>
      </c>
      <c r="AA77">
        <f t="shared" si="2"/>
        <v>6</v>
      </c>
      <c r="AJ77" t="str">
        <f>Worksheet!$E$3</f>
        <v>0</v>
      </c>
      <c r="AK77" t="str">
        <f>Worksheet!R74</f>
        <v/>
      </c>
      <c r="AL77">
        <f t="shared" si="3"/>
        <v>4</v>
      </c>
    </row>
    <row r="78" spans="25:38" x14ac:dyDescent="0.25">
      <c r="Y78" t="str">
        <f>Worksheet!$E$3</f>
        <v>0</v>
      </c>
      <c r="Z78" t="str">
        <f>Worksheet!R75</f>
        <v/>
      </c>
      <c r="AA78">
        <f t="shared" si="2"/>
        <v>6</v>
      </c>
      <c r="AJ78" t="str">
        <f>Worksheet!$E$3</f>
        <v>0</v>
      </c>
      <c r="AK78" t="str">
        <f>Worksheet!R75</f>
        <v/>
      </c>
      <c r="AL78">
        <f t="shared" si="3"/>
        <v>4</v>
      </c>
    </row>
    <row r="79" spans="25:38" x14ac:dyDescent="0.25">
      <c r="Y79" t="str">
        <f>Worksheet!$E$3</f>
        <v>0</v>
      </c>
      <c r="Z79" t="str">
        <f>Worksheet!R76</f>
        <v/>
      </c>
      <c r="AA79">
        <f t="shared" si="2"/>
        <v>6</v>
      </c>
      <c r="AJ79" t="str">
        <f>Worksheet!$E$3</f>
        <v>0</v>
      </c>
      <c r="AK79" t="str">
        <f>Worksheet!R76</f>
        <v/>
      </c>
      <c r="AL79">
        <f t="shared" si="3"/>
        <v>4</v>
      </c>
    </row>
    <row r="80" spans="25:38" x14ac:dyDescent="0.25">
      <c r="Y80" t="str">
        <f>Worksheet!$E$3</f>
        <v>0</v>
      </c>
      <c r="Z80" t="str">
        <f>Worksheet!R77</f>
        <v/>
      </c>
      <c r="AA80">
        <f t="shared" si="2"/>
        <v>6</v>
      </c>
      <c r="AJ80" t="str">
        <f>Worksheet!$E$3</f>
        <v>0</v>
      </c>
      <c r="AK80" t="str">
        <f>Worksheet!R77</f>
        <v/>
      </c>
      <c r="AL80">
        <f t="shared" si="3"/>
        <v>4</v>
      </c>
    </row>
    <row r="81" spans="25:38" x14ac:dyDescent="0.25">
      <c r="Y81" t="str">
        <f>Worksheet!$E$3</f>
        <v>0</v>
      </c>
      <c r="Z81" t="str">
        <f>Worksheet!R78</f>
        <v/>
      </c>
      <c r="AA81">
        <f t="shared" si="2"/>
        <v>6</v>
      </c>
      <c r="AJ81" t="str">
        <f>Worksheet!$E$3</f>
        <v>0</v>
      </c>
      <c r="AK81" t="str">
        <f>Worksheet!R78</f>
        <v/>
      </c>
      <c r="AL81">
        <f t="shared" si="3"/>
        <v>4</v>
      </c>
    </row>
    <row r="82" spans="25:38" x14ac:dyDescent="0.25">
      <c r="Y82" t="str">
        <f>Worksheet!$E$3</f>
        <v>0</v>
      </c>
      <c r="Z82" t="str">
        <f>Worksheet!R79</f>
        <v/>
      </c>
      <c r="AA82">
        <f t="shared" si="2"/>
        <v>6</v>
      </c>
      <c r="AJ82" t="str">
        <f>Worksheet!$E$3</f>
        <v>0</v>
      </c>
      <c r="AK82" t="str">
        <f>Worksheet!R79</f>
        <v/>
      </c>
      <c r="AL82">
        <f t="shared" si="3"/>
        <v>4</v>
      </c>
    </row>
    <row r="83" spans="25:38" x14ac:dyDescent="0.25">
      <c r="Y83" t="str">
        <f>Worksheet!$E$3</f>
        <v>0</v>
      </c>
      <c r="Z83" t="str">
        <f>Worksheet!R80</f>
        <v/>
      </c>
      <c r="AA83">
        <f t="shared" si="2"/>
        <v>6</v>
      </c>
      <c r="AJ83" t="str">
        <f>Worksheet!$E$3</f>
        <v>0</v>
      </c>
      <c r="AK83" t="str">
        <f>Worksheet!R80</f>
        <v/>
      </c>
      <c r="AL83">
        <f t="shared" si="3"/>
        <v>4</v>
      </c>
    </row>
    <row r="84" spans="25:38" x14ac:dyDescent="0.25">
      <c r="Y84" t="str">
        <f>Worksheet!$E$3</f>
        <v>0</v>
      </c>
      <c r="Z84" t="str">
        <f>Worksheet!R81</f>
        <v/>
      </c>
      <c r="AA84">
        <f t="shared" si="2"/>
        <v>6</v>
      </c>
      <c r="AJ84" t="str">
        <f>Worksheet!$E$3</f>
        <v>0</v>
      </c>
      <c r="AK84" t="str">
        <f>Worksheet!R81</f>
        <v/>
      </c>
      <c r="AL84">
        <f t="shared" si="3"/>
        <v>4</v>
      </c>
    </row>
    <row r="85" spans="25:38" x14ac:dyDescent="0.25">
      <c r="Y85" t="str">
        <f>Worksheet!$E$3</f>
        <v>0</v>
      </c>
      <c r="Z85" t="str">
        <f>Worksheet!R82</f>
        <v/>
      </c>
      <c r="AA85">
        <f t="shared" si="2"/>
        <v>6</v>
      </c>
      <c r="AJ85" t="str">
        <f>Worksheet!$E$3</f>
        <v>0</v>
      </c>
      <c r="AK85" t="str">
        <f>Worksheet!R82</f>
        <v/>
      </c>
      <c r="AL85">
        <f t="shared" si="3"/>
        <v>4</v>
      </c>
    </row>
    <row r="86" spans="25:38" x14ac:dyDescent="0.25">
      <c r="Y86" t="str">
        <f>Worksheet!$E$3</f>
        <v>0</v>
      </c>
      <c r="Z86" t="str">
        <f>Worksheet!R83</f>
        <v/>
      </c>
      <c r="AA86">
        <f t="shared" si="2"/>
        <v>6</v>
      </c>
      <c r="AJ86" t="str">
        <f>Worksheet!$E$3</f>
        <v>0</v>
      </c>
      <c r="AK86" t="str">
        <f>Worksheet!R83</f>
        <v/>
      </c>
      <c r="AL86">
        <f t="shared" si="3"/>
        <v>4</v>
      </c>
    </row>
    <row r="87" spans="25:38" x14ac:dyDescent="0.25">
      <c r="Y87" t="str">
        <f>Worksheet!$E$3</f>
        <v>0</v>
      </c>
      <c r="Z87" t="str">
        <f>Worksheet!R84</f>
        <v/>
      </c>
      <c r="AA87">
        <f t="shared" si="2"/>
        <v>6</v>
      </c>
      <c r="AJ87" t="str">
        <f>Worksheet!$E$3</f>
        <v>0</v>
      </c>
      <c r="AK87" t="str">
        <f>Worksheet!R84</f>
        <v/>
      </c>
      <c r="AL87">
        <f t="shared" si="3"/>
        <v>4</v>
      </c>
    </row>
    <row r="88" spans="25:38" x14ac:dyDescent="0.25">
      <c r="Y88" t="str">
        <f>Worksheet!$E$3</f>
        <v>0</v>
      </c>
      <c r="Z88" t="str">
        <f>Worksheet!R85</f>
        <v/>
      </c>
      <c r="AA88">
        <f t="shared" si="2"/>
        <v>6</v>
      </c>
      <c r="AJ88" t="str">
        <f>Worksheet!$E$3</f>
        <v>0</v>
      </c>
      <c r="AK88" t="str">
        <f>Worksheet!R85</f>
        <v/>
      </c>
      <c r="AL88">
        <f t="shared" si="3"/>
        <v>4</v>
      </c>
    </row>
    <row r="89" spans="25:38" x14ac:dyDescent="0.25">
      <c r="Y89" t="str">
        <f>Worksheet!$E$3</f>
        <v>0</v>
      </c>
      <c r="Z89" t="str">
        <f>Worksheet!R86</f>
        <v/>
      </c>
      <c r="AA89">
        <f t="shared" si="2"/>
        <v>6</v>
      </c>
      <c r="AJ89" t="str">
        <f>Worksheet!$E$3</f>
        <v>0</v>
      </c>
      <c r="AK89" t="str">
        <f>Worksheet!R86</f>
        <v/>
      </c>
      <c r="AL89">
        <f t="shared" si="3"/>
        <v>4</v>
      </c>
    </row>
    <row r="90" spans="25:38" x14ac:dyDescent="0.25">
      <c r="Y90" t="str">
        <f>Worksheet!$E$3</f>
        <v>0</v>
      </c>
      <c r="Z90" t="str">
        <f>Worksheet!R87</f>
        <v/>
      </c>
      <c r="AA90">
        <f t="shared" si="2"/>
        <v>6</v>
      </c>
      <c r="AJ90" t="str">
        <f>Worksheet!$E$3</f>
        <v>0</v>
      </c>
      <c r="AK90" t="str">
        <f>Worksheet!R87</f>
        <v/>
      </c>
      <c r="AL90">
        <f t="shared" si="3"/>
        <v>4</v>
      </c>
    </row>
    <row r="91" spans="25:38" x14ac:dyDescent="0.25">
      <c r="Y91" t="str">
        <f>Worksheet!$E$3</f>
        <v>0</v>
      </c>
      <c r="Z91" t="str">
        <f>Worksheet!R88</f>
        <v/>
      </c>
      <c r="AA91">
        <f t="shared" si="2"/>
        <v>6</v>
      </c>
      <c r="AJ91" t="str">
        <f>Worksheet!$E$3</f>
        <v>0</v>
      </c>
      <c r="AK91" t="str">
        <f>Worksheet!R88</f>
        <v/>
      </c>
      <c r="AL91">
        <f t="shared" si="3"/>
        <v>4</v>
      </c>
    </row>
    <row r="92" spans="25:38" x14ac:dyDescent="0.25">
      <c r="Y92" t="str">
        <f>Worksheet!$E$3</f>
        <v>0</v>
      </c>
      <c r="Z92" t="str">
        <f>Worksheet!R89</f>
        <v/>
      </c>
      <c r="AA92">
        <f t="shared" si="2"/>
        <v>6</v>
      </c>
      <c r="AJ92" t="str">
        <f>Worksheet!$E$3</f>
        <v>0</v>
      </c>
      <c r="AK92" t="str">
        <f>Worksheet!R89</f>
        <v/>
      </c>
      <c r="AL92">
        <f t="shared" si="3"/>
        <v>4</v>
      </c>
    </row>
    <row r="93" spans="25:38" x14ac:dyDescent="0.25">
      <c r="Y93" t="str">
        <f>Worksheet!$E$3</f>
        <v>0</v>
      </c>
      <c r="Z93" t="str">
        <f>Worksheet!R90</f>
        <v/>
      </c>
      <c r="AA93">
        <f t="shared" si="2"/>
        <v>6</v>
      </c>
      <c r="AJ93" t="str">
        <f>Worksheet!$E$3</f>
        <v>0</v>
      </c>
      <c r="AK93" t="str">
        <f>Worksheet!R90</f>
        <v/>
      </c>
      <c r="AL93">
        <f t="shared" si="3"/>
        <v>4</v>
      </c>
    </row>
    <row r="94" spans="25:38" x14ac:dyDescent="0.25">
      <c r="Y94" t="str">
        <f>Worksheet!$E$3</f>
        <v>0</v>
      </c>
      <c r="Z94">
        <f>Worksheet!R91</f>
        <v>0</v>
      </c>
      <c r="AA94">
        <f t="shared" si="2"/>
        <v>6</v>
      </c>
      <c r="AJ94" t="str">
        <f>Worksheet!$E$3</f>
        <v>0</v>
      </c>
      <c r="AK94">
        <f>Worksheet!R91</f>
        <v>0</v>
      </c>
      <c r="AL94">
        <f t="shared" si="3"/>
        <v>4</v>
      </c>
    </row>
    <row r="95" spans="25:38" x14ac:dyDescent="0.25">
      <c r="Y95" t="str">
        <f>Worksheet!$E$3</f>
        <v>0</v>
      </c>
      <c r="Z95" t="str">
        <f>Worksheet!R92</f>
        <v/>
      </c>
      <c r="AA95">
        <f t="shared" si="2"/>
        <v>6</v>
      </c>
      <c r="AJ95" t="str">
        <f>Worksheet!$E$3</f>
        <v>0</v>
      </c>
      <c r="AK95" t="str">
        <f>Worksheet!R92</f>
        <v/>
      </c>
      <c r="AL95">
        <f t="shared" si="3"/>
        <v>4</v>
      </c>
    </row>
    <row r="96" spans="25:38" x14ac:dyDescent="0.25">
      <c r="Y96" t="str">
        <f>Worksheet!$E$3</f>
        <v>0</v>
      </c>
      <c r="Z96" t="str">
        <f>Worksheet!R93</f>
        <v/>
      </c>
      <c r="AA96">
        <f t="shared" si="2"/>
        <v>6</v>
      </c>
      <c r="AJ96" t="str">
        <f>Worksheet!$E$3</f>
        <v>0</v>
      </c>
      <c r="AK96" t="str">
        <f>Worksheet!R93</f>
        <v/>
      </c>
      <c r="AL96">
        <f t="shared" si="3"/>
        <v>4</v>
      </c>
    </row>
    <row r="97" spans="25:38" x14ac:dyDescent="0.25">
      <c r="Y97" t="str">
        <f>Worksheet!$E$3</f>
        <v>0</v>
      </c>
      <c r="Z97" t="str">
        <f>Worksheet!R94</f>
        <v/>
      </c>
      <c r="AA97">
        <f t="shared" si="2"/>
        <v>6</v>
      </c>
      <c r="AJ97" t="str">
        <f>Worksheet!$E$3</f>
        <v>0</v>
      </c>
      <c r="AK97" t="str">
        <f>Worksheet!R94</f>
        <v/>
      </c>
      <c r="AL97">
        <f t="shared" si="3"/>
        <v>4</v>
      </c>
    </row>
    <row r="98" spans="25:38" x14ac:dyDescent="0.25">
      <c r="Y98" t="str">
        <f>Worksheet!$E$3</f>
        <v>0</v>
      </c>
      <c r="Z98" t="str">
        <f>Worksheet!R95</f>
        <v/>
      </c>
      <c r="AA98">
        <f t="shared" si="2"/>
        <v>6</v>
      </c>
      <c r="AJ98" t="str">
        <f>Worksheet!$E$3</f>
        <v>0</v>
      </c>
      <c r="AK98" t="str">
        <f>Worksheet!R95</f>
        <v/>
      </c>
      <c r="AL98">
        <f t="shared" si="3"/>
        <v>4</v>
      </c>
    </row>
    <row r="99" spans="25:38" x14ac:dyDescent="0.25">
      <c r="Y99" t="str">
        <f>Worksheet!$E$3</f>
        <v>0</v>
      </c>
      <c r="Z99" t="str">
        <f>Worksheet!R96</f>
        <v/>
      </c>
      <c r="AA99">
        <f t="shared" si="2"/>
        <v>6</v>
      </c>
      <c r="AJ99" t="str">
        <f>Worksheet!$E$3</f>
        <v>0</v>
      </c>
      <c r="AK99" t="str">
        <f>Worksheet!R96</f>
        <v/>
      </c>
      <c r="AL99">
        <f t="shared" si="3"/>
        <v>4</v>
      </c>
    </row>
    <row r="100" spans="25:38" x14ac:dyDescent="0.25">
      <c r="Y100" t="str">
        <f>Worksheet!$E$3</f>
        <v>0</v>
      </c>
      <c r="Z100" t="str">
        <f>Worksheet!R97</f>
        <v/>
      </c>
      <c r="AA100">
        <f t="shared" si="2"/>
        <v>6</v>
      </c>
      <c r="AJ100" t="str">
        <f>Worksheet!$E$3</f>
        <v>0</v>
      </c>
      <c r="AK100" t="str">
        <f>Worksheet!R97</f>
        <v/>
      </c>
      <c r="AL100">
        <f t="shared" si="3"/>
        <v>4</v>
      </c>
    </row>
    <row r="101" spans="25:38" x14ac:dyDescent="0.25">
      <c r="Y101" t="str">
        <f>Worksheet!$E$3</f>
        <v>0</v>
      </c>
      <c r="Z101" t="str">
        <f>Worksheet!R98</f>
        <v/>
      </c>
      <c r="AA101">
        <f t="shared" si="2"/>
        <v>6</v>
      </c>
      <c r="AJ101" t="str">
        <f>Worksheet!$E$3</f>
        <v>0</v>
      </c>
      <c r="AK101" t="str">
        <f>Worksheet!R98</f>
        <v/>
      </c>
      <c r="AL101">
        <f t="shared" si="3"/>
        <v>4</v>
      </c>
    </row>
    <row r="102" spans="25:38" x14ac:dyDescent="0.25">
      <c r="Y102" t="str">
        <f>Worksheet!$E$3</f>
        <v>0</v>
      </c>
      <c r="Z102" t="str">
        <f>Worksheet!R99</f>
        <v/>
      </c>
      <c r="AA102">
        <f t="shared" si="2"/>
        <v>6</v>
      </c>
      <c r="AJ102" t="str">
        <f>Worksheet!$E$3</f>
        <v>0</v>
      </c>
      <c r="AK102" t="str">
        <f>Worksheet!R99</f>
        <v/>
      </c>
      <c r="AL102">
        <f t="shared" si="3"/>
        <v>4</v>
      </c>
    </row>
    <row r="103" spans="25:38" x14ac:dyDescent="0.25">
      <c r="Y103" t="str">
        <f>Worksheet!$E$3</f>
        <v>0</v>
      </c>
      <c r="Z103" t="str">
        <f>Worksheet!R100</f>
        <v/>
      </c>
      <c r="AA103">
        <f t="shared" si="2"/>
        <v>6</v>
      </c>
      <c r="AJ103" t="str">
        <f>Worksheet!$E$3</f>
        <v>0</v>
      </c>
      <c r="AK103" t="str">
        <f>Worksheet!R100</f>
        <v/>
      </c>
      <c r="AL103">
        <f t="shared" si="3"/>
        <v>4</v>
      </c>
    </row>
    <row r="104" spans="25:38" x14ac:dyDescent="0.25">
      <c r="Y104" t="str">
        <f>Worksheet!$E$3</f>
        <v>0</v>
      </c>
      <c r="Z104" t="str">
        <f>Worksheet!R101</f>
        <v/>
      </c>
      <c r="AA104">
        <f t="shared" si="2"/>
        <v>6</v>
      </c>
      <c r="AJ104" t="str">
        <f>Worksheet!$E$3</f>
        <v>0</v>
      </c>
      <c r="AK104" t="str">
        <f>Worksheet!R101</f>
        <v/>
      </c>
      <c r="AL104">
        <f t="shared" si="3"/>
        <v>4</v>
      </c>
    </row>
    <row r="105" spans="25:38" x14ac:dyDescent="0.25">
      <c r="Y105" t="str">
        <f>Worksheet!$E$3</f>
        <v>0</v>
      </c>
      <c r="Z105" t="str">
        <f>Worksheet!R102</f>
        <v/>
      </c>
      <c r="AA105">
        <f t="shared" si="2"/>
        <v>6</v>
      </c>
      <c r="AJ105" t="str">
        <f>Worksheet!$E$3</f>
        <v>0</v>
      </c>
      <c r="AK105" t="str">
        <f>Worksheet!R102</f>
        <v/>
      </c>
      <c r="AL105">
        <f t="shared" si="3"/>
        <v>4</v>
      </c>
    </row>
    <row r="106" spans="25:38" x14ac:dyDescent="0.25">
      <c r="Y106" t="str">
        <f>Worksheet!$E$3</f>
        <v>0</v>
      </c>
      <c r="Z106" t="str">
        <f>Worksheet!R103</f>
        <v/>
      </c>
      <c r="AA106">
        <f t="shared" si="2"/>
        <v>6</v>
      </c>
      <c r="AJ106" t="str">
        <f>Worksheet!$E$3</f>
        <v>0</v>
      </c>
      <c r="AK106" t="str">
        <f>Worksheet!R103</f>
        <v/>
      </c>
      <c r="AL106">
        <f t="shared" si="3"/>
        <v>4</v>
      </c>
    </row>
    <row r="107" spans="25:38" x14ac:dyDescent="0.25">
      <c r="Y107" t="str">
        <f>Worksheet!$E$3</f>
        <v>0</v>
      </c>
      <c r="Z107" t="str">
        <f>Worksheet!R104</f>
        <v/>
      </c>
      <c r="AA107">
        <f t="shared" si="2"/>
        <v>6</v>
      </c>
      <c r="AJ107" t="str">
        <f>Worksheet!$E$3</f>
        <v>0</v>
      </c>
      <c r="AK107" t="str">
        <f>Worksheet!R104</f>
        <v/>
      </c>
      <c r="AL107">
        <f t="shared" si="3"/>
        <v>4</v>
      </c>
    </row>
    <row r="108" spans="25:38" x14ac:dyDescent="0.25">
      <c r="Y108" t="str">
        <f>Worksheet!$E$3</f>
        <v>0</v>
      </c>
      <c r="Z108" t="str">
        <f>Worksheet!R105</f>
        <v/>
      </c>
      <c r="AA108">
        <f t="shared" si="2"/>
        <v>6</v>
      </c>
      <c r="AJ108" t="str">
        <f>Worksheet!$E$3</f>
        <v>0</v>
      </c>
      <c r="AK108" t="str">
        <f>Worksheet!R105</f>
        <v/>
      </c>
      <c r="AL108">
        <f t="shared" si="3"/>
        <v>4</v>
      </c>
    </row>
    <row r="109" spans="25:38" x14ac:dyDescent="0.25">
      <c r="Y109" t="str">
        <f>Worksheet!$E$3</f>
        <v>0</v>
      </c>
      <c r="Z109" t="str">
        <f>Worksheet!R106</f>
        <v/>
      </c>
      <c r="AA109">
        <f t="shared" si="2"/>
        <v>6</v>
      </c>
      <c r="AJ109" t="str">
        <f>Worksheet!$E$3</f>
        <v>0</v>
      </c>
      <c r="AK109" t="str">
        <f>Worksheet!R106</f>
        <v/>
      </c>
      <c r="AL109">
        <f t="shared" si="3"/>
        <v>4</v>
      </c>
    </row>
    <row r="110" spans="25:38" x14ac:dyDescent="0.25">
      <c r="Y110" t="str">
        <f>Worksheet!$E$3</f>
        <v>0</v>
      </c>
      <c r="Z110" t="str">
        <f>Worksheet!R107</f>
        <v/>
      </c>
      <c r="AA110">
        <f t="shared" si="2"/>
        <v>6</v>
      </c>
      <c r="AJ110" t="str">
        <f>Worksheet!$E$3</f>
        <v>0</v>
      </c>
      <c r="AK110" t="str">
        <f>Worksheet!R107</f>
        <v/>
      </c>
      <c r="AL110">
        <f t="shared" si="3"/>
        <v>4</v>
      </c>
    </row>
    <row r="111" spans="25:38" x14ac:dyDescent="0.25">
      <c r="Y111" t="str">
        <f>Worksheet!$E$3</f>
        <v>0</v>
      </c>
      <c r="Z111" t="str">
        <f>Worksheet!R108</f>
        <v/>
      </c>
      <c r="AA111">
        <f t="shared" si="2"/>
        <v>6</v>
      </c>
      <c r="AJ111" t="str">
        <f>Worksheet!$E$3</f>
        <v>0</v>
      </c>
      <c r="AK111" t="str">
        <f>Worksheet!R108</f>
        <v/>
      </c>
      <c r="AL111">
        <f t="shared" si="3"/>
        <v>4</v>
      </c>
    </row>
    <row r="112" spans="25:38" x14ac:dyDescent="0.25">
      <c r="Y112" t="str">
        <f>Worksheet!$E$3</f>
        <v>0</v>
      </c>
      <c r="Z112" t="str">
        <f>Worksheet!R109</f>
        <v/>
      </c>
      <c r="AA112">
        <f t="shared" si="2"/>
        <v>6</v>
      </c>
      <c r="AJ112" t="str">
        <f>Worksheet!$E$3</f>
        <v>0</v>
      </c>
      <c r="AK112" t="str">
        <f>Worksheet!R109</f>
        <v/>
      </c>
      <c r="AL112">
        <f t="shared" si="3"/>
        <v>4</v>
      </c>
    </row>
    <row r="113" spans="25:38" x14ac:dyDescent="0.25">
      <c r="Y113" t="str">
        <f>Worksheet!$E$3</f>
        <v>0</v>
      </c>
      <c r="Z113" t="str">
        <f>Worksheet!R110</f>
        <v/>
      </c>
      <c r="AA113">
        <f t="shared" si="2"/>
        <v>6</v>
      </c>
      <c r="AJ113" t="str">
        <f>Worksheet!$E$3</f>
        <v>0</v>
      </c>
      <c r="AK113" t="str">
        <f>Worksheet!R110</f>
        <v/>
      </c>
      <c r="AL113">
        <f t="shared" si="3"/>
        <v>4</v>
      </c>
    </row>
    <row r="114" spans="25:38" x14ac:dyDescent="0.25">
      <c r="Y114" t="str">
        <f>Worksheet!$E$3</f>
        <v>0</v>
      </c>
      <c r="Z114" t="str">
        <f>Worksheet!R111</f>
        <v/>
      </c>
      <c r="AA114">
        <f t="shared" si="2"/>
        <v>6</v>
      </c>
      <c r="AJ114" t="str">
        <f>Worksheet!$E$3</f>
        <v>0</v>
      </c>
      <c r="AK114" t="str">
        <f>Worksheet!R111</f>
        <v/>
      </c>
      <c r="AL114">
        <f t="shared" si="3"/>
        <v>4</v>
      </c>
    </row>
    <row r="115" spans="25:38" x14ac:dyDescent="0.25">
      <c r="Y115" t="str">
        <f>Worksheet!$E$3</f>
        <v>0</v>
      </c>
      <c r="Z115" t="str">
        <f>Worksheet!R112</f>
        <v/>
      </c>
      <c r="AA115">
        <f t="shared" si="2"/>
        <v>6</v>
      </c>
      <c r="AJ115" t="str">
        <f>Worksheet!$E$3</f>
        <v>0</v>
      </c>
      <c r="AK115" t="str">
        <f>Worksheet!R112</f>
        <v/>
      </c>
      <c r="AL115">
        <f t="shared" si="3"/>
        <v>4</v>
      </c>
    </row>
    <row r="116" spans="25:38" x14ac:dyDescent="0.25">
      <c r="Y116" t="str">
        <f>Worksheet!$E$3</f>
        <v>0</v>
      </c>
      <c r="Z116" t="str">
        <f>Worksheet!R113</f>
        <v/>
      </c>
      <c r="AA116">
        <f t="shared" si="2"/>
        <v>6</v>
      </c>
      <c r="AJ116" t="str">
        <f>Worksheet!$E$3</f>
        <v>0</v>
      </c>
      <c r="AK116" t="str">
        <f>Worksheet!R113</f>
        <v/>
      </c>
      <c r="AL116">
        <f t="shared" si="3"/>
        <v>4</v>
      </c>
    </row>
    <row r="117" spans="25:38" x14ac:dyDescent="0.25">
      <c r="Y117" t="str">
        <f>Worksheet!$E$3</f>
        <v>0</v>
      </c>
      <c r="Z117" t="str">
        <f>Worksheet!R114</f>
        <v/>
      </c>
      <c r="AA117">
        <f t="shared" si="2"/>
        <v>6</v>
      </c>
      <c r="AJ117" t="str">
        <f>Worksheet!$E$3</f>
        <v>0</v>
      </c>
      <c r="AK117" t="str">
        <f>Worksheet!R114</f>
        <v/>
      </c>
      <c r="AL117">
        <f t="shared" si="3"/>
        <v>4</v>
      </c>
    </row>
    <row r="118" spans="25:38" x14ac:dyDescent="0.25">
      <c r="Y118" t="str">
        <f>Worksheet!$E$3</f>
        <v>0</v>
      </c>
      <c r="Z118" t="str">
        <f>Worksheet!R115</f>
        <v/>
      </c>
      <c r="AA118">
        <f t="shared" si="2"/>
        <v>6</v>
      </c>
      <c r="AJ118" t="str">
        <f>Worksheet!$E$3</f>
        <v>0</v>
      </c>
      <c r="AK118" t="str">
        <f>Worksheet!R115</f>
        <v/>
      </c>
      <c r="AL118">
        <f t="shared" si="3"/>
        <v>4</v>
      </c>
    </row>
    <row r="119" spans="25:38" x14ac:dyDescent="0.25">
      <c r="Y119" t="str">
        <f>Worksheet!$E$3</f>
        <v>0</v>
      </c>
      <c r="Z119" t="str">
        <f>Worksheet!R116</f>
        <v/>
      </c>
      <c r="AA119">
        <f t="shared" si="2"/>
        <v>6</v>
      </c>
      <c r="AJ119" t="str">
        <f>Worksheet!$E$3</f>
        <v>0</v>
      </c>
      <c r="AK119" t="str">
        <f>Worksheet!R116</f>
        <v/>
      </c>
      <c r="AL119">
        <f t="shared" si="3"/>
        <v>4</v>
      </c>
    </row>
    <row r="120" spans="25:38" x14ac:dyDescent="0.25">
      <c r="Y120" t="str">
        <f>Worksheet!$E$3</f>
        <v>0</v>
      </c>
      <c r="Z120" t="str">
        <f>Worksheet!R117</f>
        <v/>
      </c>
      <c r="AA120">
        <f t="shared" si="2"/>
        <v>6</v>
      </c>
      <c r="AJ120" t="str">
        <f>Worksheet!$E$3</f>
        <v>0</v>
      </c>
      <c r="AK120" t="str">
        <f>Worksheet!R117</f>
        <v/>
      </c>
      <c r="AL120">
        <f t="shared" si="3"/>
        <v>4</v>
      </c>
    </row>
    <row r="121" spans="25:38" x14ac:dyDescent="0.25">
      <c r="Y121" t="str">
        <f>Worksheet!$E$3</f>
        <v>0</v>
      </c>
      <c r="Z121" t="str">
        <f>Worksheet!R118</f>
        <v/>
      </c>
      <c r="AA121">
        <f t="shared" si="2"/>
        <v>6</v>
      </c>
      <c r="AJ121" t="str">
        <f>Worksheet!$E$3</f>
        <v>0</v>
      </c>
      <c r="AK121" t="str">
        <f>Worksheet!R118</f>
        <v/>
      </c>
      <c r="AL121">
        <f t="shared" si="3"/>
        <v>4</v>
      </c>
    </row>
    <row r="122" spans="25:38" x14ac:dyDescent="0.25">
      <c r="Y122" t="str">
        <f>Worksheet!$E$3</f>
        <v>0</v>
      </c>
      <c r="Z122" t="str">
        <f>Worksheet!R119</f>
        <v/>
      </c>
      <c r="AA122">
        <f t="shared" si="2"/>
        <v>6</v>
      </c>
      <c r="AJ122" t="str">
        <f>Worksheet!$E$3</f>
        <v>0</v>
      </c>
      <c r="AK122" t="str">
        <f>Worksheet!R119</f>
        <v/>
      </c>
      <c r="AL122">
        <f t="shared" si="3"/>
        <v>4</v>
      </c>
    </row>
    <row r="123" spans="25:38" x14ac:dyDescent="0.25">
      <c r="Y123" t="str">
        <f>Worksheet!$E$3</f>
        <v>0</v>
      </c>
      <c r="Z123" t="str">
        <f>Worksheet!R120</f>
        <v/>
      </c>
      <c r="AA123">
        <f t="shared" si="2"/>
        <v>6</v>
      </c>
      <c r="AJ123" t="str">
        <f>Worksheet!$E$3</f>
        <v>0</v>
      </c>
      <c r="AK123" t="str">
        <f>Worksheet!R120</f>
        <v/>
      </c>
      <c r="AL123">
        <f t="shared" si="3"/>
        <v>4</v>
      </c>
    </row>
    <row r="124" spans="25:38" x14ac:dyDescent="0.25">
      <c r="Y124" t="str">
        <f>Worksheet!$E$3</f>
        <v>0</v>
      </c>
      <c r="Z124" t="str">
        <f>Worksheet!R121</f>
        <v/>
      </c>
      <c r="AA124">
        <f t="shared" si="2"/>
        <v>6</v>
      </c>
      <c r="AJ124" t="str">
        <f>Worksheet!$E$3</f>
        <v>0</v>
      </c>
      <c r="AK124" t="str">
        <f>Worksheet!R121</f>
        <v/>
      </c>
      <c r="AL124">
        <f t="shared" si="3"/>
        <v>4</v>
      </c>
    </row>
    <row r="125" spans="25:38" x14ac:dyDescent="0.25">
      <c r="Y125" t="str">
        <f>Worksheet!$E$3</f>
        <v>0</v>
      </c>
      <c r="Z125" t="str">
        <f>Worksheet!R122</f>
        <v/>
      </c>
      <c r="AA125">
        <f t="shared" si="2"/>
        <v>6</v>
      </c>
      <c r="AJ125" t="str">
        <f>Worksheet!$E$3</f>
        <v>0</v>
      </c>
      <c r="AK125" t="str">
        <f>Worksheet!R122</f>
        <v/>
      </c>
      <c r="AL125">
        <f t="shared" si="3"/>
        <v>4</v>
      </c>
    </row>
    <row r="126" spans="25:38" x14ac:dyDescent="0.25">
      <c r="Y126" t="str">
        <f>Worksheet!$E$3</f>
        <v>0</v>
      </c>
      <c r="Z126" t="str">
        <f>Worksheet!R123</f>
        <v/>
      </c>
      <c r="AA126">
        <f t="shared" si="2"/>
        <v>6</v>
      </c>
      <c r="AJ126" t="str">
        <f>Worksheet!$E$3</f>
        <v>0</v>
      </c>
      <c r="AK126" t="str">
        <f>Worksheet!R123</f>
        <v/>
      </c>
      <c r="AL126">
        <f t="shared" si="3"/>
        <v>4</v>
      </c>
    </row>
    <row r="127" spans="25:38" x14ac:dyDescent="0.25">
      <c r="Y127" t="str">
        <f>Worksheet!$E$3</f>
        <v>0</v>
      </c>
      <c r="Z127" t="str">
        <f>Worksheet!R124</f>
        <v/>
      </c>
      <c r="AA127">
        <f t="shared" si="2"/>
        <v>6</v>
      </c>
      <c r="AJ127" t="str">
        <f>Worksheet!$E$3</f>
        <v>0</v>
      </c>
      <c r="AK127" t="str">
        <f>Worksheet!R124</f>
        <v/>
      </c>
      <c r="AL127">
        <f t="shared" si="3"/>
        <v>4</v>
      </c>
    </row>
    <row r="128" spans="25:38" x14ac:dyDescent="0.25">
      <c r="Y128" t="str">
        <f>Worksheet!$E$3</f>
        <v>0</v>
      </c>
      <c r="Z128" t="str">
        <f>Worksheet!R125</f>
        <v/>
      </c>
      <c r="AA128">
        <f t="shared" si="2"/>
        <v>6</v>
      </c>
      <c r="AJ128" t="str">
        <f>Worksheet!$E$3</f>
        <v>0</v>
      </c>
      <c r="AK128" t="str">
        <f>Worksheet!R125</f>
        <v/>
      </c>
      <c r="AL128">
        <f t="shared" si="3"/>
        <v>4</v>
      </c>
    </row>
    <row r="129" spans="25:38" x14ac:dyDescent="0.25">
      <c r="Y129" t="str">
        <f>Worksheet!$E$3</f>
        <v>0</v>
      </c>
      <c r="Z129" t="str">
        <f>Worksheet!R126</f>
        <v/>
      </c>
      <c r="AA129">
        <f t="shared" si="2"/>
        <v>6</v>
      </c>
      <c r="AJ129" t="str">
        <f>Worksheet!$E$3</f>
        <v>0</v>
      </c>
      <c r="AK129" t="str">
        <f>Worksheet!R126</f>
        <v/>
      </c>
      <c r="AL129">
        <f t="shared" si="3"/>
        <v>4</v>
      </c>
    </row>
    <row r="130" spans="25:38" x14ac:dyDescent="0.25">
      <c r="Y130" t="str">
        <f>Worksheet!$E$3</f>
        <v>0</v>
      </c>
      <c r="Z130" t="str">
        <f>Worksheet!R127</f>
        <v/>
      </c>
      <c r="AA130">
        <f t="shared" si="2"/>
        <v>6</v>
      </c>
      <c r="AJ130" t="str">
        <f>Worksheet!$E$3</f>
        <v>0</v>
      </c>
      <c r="AK130" t="str">
        <f>Worksheet!R127</f>
        <v/>
      </c>
      <c r="AL130">
        <f t="shared" si="3"/>
        <v>4</v>
      </c>
    </row>
    <row r="131" spans="25:38" x14ac:dyDescent="0.25">
      <c r="Y131" t="str">
        <f>Worksheet!$E$3</f>
        <v>0</v>
      </c>
      <c r="Z131" t="str">
        <f>Worksheet!R128</f>
        <v/>
      </c>
      <c r="AA131">
        <f t="shared" si="2"/>
        <v>6</v>
      </c>
      <c r="AJ131" t="str">
        <f>Worksheet!$E$3</f>
        <v>0</v>
      </c>
      <c r="AK131" t="str">
        <f>Worksheet!R128</f>
        <v/>
      </c>
      <c r="AL131">
        <f t="shared" si="3"/>
        <v>4</v>
      </c>
    </row>
    <row r="132" spans="25:38" x14ac:dyDescent="0.25">
      <c r="Y132" t="str">
        <f>Worksheet!$E$3</f>
        <v>0</v>
      </c>
      <c r="Z132" t="str">
        <f>Worksheet!R129</f>
        <v/>
      </c>
      <c r="AA132">
        <f t="shared" si="2"/>
        <v>6</v>
      </c>
      <c r="AJ132" t="str">
        <f>Worksheet!$E$3</f>
        <v>0</v>
      </c>
      <c r="AK132" t="str">
        <f>Worksheet!R129</f>
        <v/>
      </c>
      <c r="AL132">
        <f t="shared" si="3"/>
        <v>4</v>
      </c>
    </row>
    <row r="133" spans="25:38" x14ac:dyDescent="0.25">
      <c r="Y133" t="str">
        <f>Worksheet!$E$3</f>
        <v>0</v>
      </c>
      <c r="Z133" t="str">
        <f>Worksheet!R130</f>
        <v/>
      </c>
      <c r="AA133">
        <f t="shared" si="2"/>
        <v>6</v>
      </c>
      <c r="AJ133" t="str">
        <f>Worksheet!$E$3</f>
        <v>0</v>
      </c>
      <c r="AK133" t="str">
        <f>Worksheet!R130</f>
        <v/>
      </c>
      <c r="AL133">
        <f t="shared" si="3"/>
        <v>4</v>
      </c>
    </row>
    <row r="134" spans="25:38" x14ac:dyDescent="0.25">
      <c r="Y134" t="str">
        <f>Worksheet!$E$3</f>
        <v>0</v>
      </c>
      <c r="Z134" t="str">
        <f>Worksheet!R131</f>
        <v/>
      </c>
      <c r="AA134">
        <f t="shared" si="2"/>
        <v>6</v>
      </c>
      <c r="AJ134" t="str">
        <f>Worksheet!$E$3</f>
        <v>0</v>
      </c>
      <c r="AK134" t="str">
        <f>Worksheet!R131</f>
        <v/>
      </c>
      <c r="AL134">
        <f t="shared" si="3"/>
        <v>4</v>
      </c>
    </row>
    <row r="135" spans="25:38" x14ac:dyDescent="0.25">
      <c r="Y135" t="str">
        <f>Worksheet!$E$3</f>
        <v>0</v>
      </c>
      <c r="Z135" t="str">
        <f>Worksheet!R132</f>
        <v/>
      </c>
      <c r="AA135">
        <f t="shared" si="2"/>
        <v>6</v>
      </c>
      <c r="AJ135" t="str">
        <f>Worksheet!$E$3</f>
        <v>0</v>
      </c>
      <c r="AK135" t="str">
        <f>Worksheet!R132</f>
        <v/>
      </c>
      <c r="AL135">
        <f t="shared" si="3"/>
        <v>4</v>
      </c>
    </row>
    <row r="136" spans="25:38" x14ac:dyDescent="0.25">
      <c r="Y136" t="str">
        <f>Worksheet!$E$3</f>
        <v>0</v>
      </c>
      <c r="Z136" t="str">
        <f>Worksheet!R133</f>
        <v/>
      </c>
      <c r="AA136">
        <f t="shared" si="2"/>
        <v>6</v>
      </c>
      <c r="AJ136" t="str">
        <f>Worksheet!$E$3</f>
        <v>0</v>
      </c>
      <c r="AK136" t="str">
        <f>Worksheet!R133</f>
        <v/>
      </c>
      <c r="AL136">
        <f t="shared" si="3"/>
        <v>4</v>
      </c>
    </row>
    <row r="137" spans="25:38" x14ac:dyDescent="0.25">
      <c r="Y137" t="str">
        <f>Worksheet!$E$3</f>
        <v>0</v>
      </c>
      <c r="Z137" t="str">
        <f>Worksheet!R134</f>
        <v/>
      </c>
      <c r="AA137">
        <f t="shared" si="2"/>
        <v>6</v>
      </c>
      <c r="AJ137" t="str">
        <f>Worksheet!$E$3</f>
        <v>0</v>
      </c>
      <c r="AK137" t="str">
        <f>Worksheet!R134</f>
        <v/>
      </c>
      <c r="AL137">
        <f t="shared" si="3"/>
        <v>4</v>
      </c>
    </row>
    <row r="138" spans="25:38" x14ac:dyDescent="0.25">
      <c r="Y138" t="str">
        <f>Worksheet!$E$3</f>
        <v>0</v>
      </c>
      <c r="Z138" t="str">
        <f>Worksheet!R135</f>
        <v/>
      </c>
      <c r="AA138">
        <f t="shared" ref="AA138:AA200" si="4">HLOOKUP(Y138,$R$8:$W$36,COUNTIF($R$9:$R$36,"&lt;"&amp;Z138)+2,FALSE)</f>
        <v>6</v>
      </c>
      <c r="AJ138" t="str">
        <f>Worksheet!$E$3</f>
        <v>0</v>
      </c>
      <c r="AK138" t="str">
        <f>Worksheet!R135</f>
        <v/>
      </c>
      <c r="AL138">
        <f t="shared" ref="AL138:AL200" si="5">HLOOKUP(AJ138,$AC$8:$AH$36,COUNTIF($AC$9:$AC$36,"&lt;"&amp;AK138)+2,FALSE)</f>
        <v>4</v>
      </c>
    </row>
    <row r="139" spans="25:38" x14ac:dyDescent="0.25">
      <c r="Y139" t="str">
        <f>Worksheet!$E$3</f>
        <v>0</v>
      </c>
      <c r="Z139" t="str">
        <f>Worksheet!R136</f>
        <v/>
      </c>
      <c r="AA139">
        <f t="shared" si="4"/>
        <v>6</v>
      </c>
      <c r="AJ139" t="str">
        <f>Worksheet!$E$3</f>
        <v>0</v>
      </c>
      <c r="AK139" t="str">
        <f>Worksheet!R136</f>
        <v/>
      </c>
      <c r="AL139">
        <f t="shared" si="5"/>
        <v>4</v>
      </c>
    </row>
    <row r="140" spans="25:38" x14ac:dyDescent="0.25">
      <c r="Y140" t="str">
        <f>Worksheet!$E$3</f>
        <v>0</v>
      </c>
      <c r="Z140">
        <f>Worksheet!R137</f>
        <v>0</v>
      </c>
      <c r="AA140">
        <f t="shared" si="4"/>
        <v>6</v>
      </c>
      <c r="AJ140" t="str">
        <f>Worksheet!$E$3</f>
        <v>0</v>
      </c>
      <c r="AK140">
        <f>Worksheet!R137</f>
        <v>0</v>
      </c>
      <c r="AL140">
        <f t="shared" si="5"/>
        <v>4</v>
      </c>
    </row>
    <row r="141" spans="25:38" x14ac:dyDescent="0.25">
      <c r="Y141" t="str">
        <f>Worksheet!$E$3</f>
        <v>0</v>
      </c>
      <c r="Z141">
        <f>Worksheet!R138</f>
        <v>0</v>
      </c>
      <c r="AA141">
        <f t="shared" si="4"/>
        <v>6</v>
      </c>
      <c r="AJ141" t="str">
        <f>Worksheet!$E$3</f>
        <v>0</v>
      </c>
      <c r="AK141">
        <f>Worksheet!R138</f>
        <v>0</v>
      </c>
      <c r="AL141">
        <f t="shared" si="5"/>
        <v>4</v>
      </c>
    </row>
    <row r="142" spans="25:38" x14ac:dyDescent="0.25">
      <c r="Y142" t="str">
        <f>Worksheet!$E$3</f>
        <v>0</v>
      </c>
      <c r="Z142">
        <f>Worksheet!R139</f>
        <v>0</v>
      </c>
      <c r="AA142">
        <f t="shared" si="4"/>
        <v>6</v>
      </c>
      <c r="AJ142" t="str">
        <f>Worksheet!$E$3</f>
        <v>0</v>
      </c>
      <c r="AK142">
        <f>Worksheet!R139</f>
        <v>0</v>
      </c>
      <c r="AL142">
        <f t="shared" si="5"/>
        <v>4</v>
      </c>
    </row>
    <row r="143" spans="25:38" x14ac:dyDescent="0.25">
      <c r="Y143" t="str">
        <f>Worksheet!$E$3</f>
        <v>0</v>
      </c>
      <c r="Z143">
        <f>Worksheet!R140</f>
        <v>0</v>
      </c>
      <c r="AA143">
        <f t="shared" si="4"/>
        <v>6</v>
      </c>
      <c r="AJ143" t="str">
        <f>Worksheet!$E$3</f>
        <v>0</v>
      </c>
      <c r="AK143">
        <f>Worksheet!R140</f>
        <v>0</v>
      </c>
      <c r="AL143">
        <f t="shared" si="5"/>
        <v>4</v>
      </c>
    </row>
    <row r="144" spans="25:38" x14ac:dyDescent="0.25">
      <c r="Y144" t="str">
        <f>Worksheet!$E$3</f>
        <v>0</v>
      </c>
      <c r="Z144">
        <f>Worksheet!R141</f>
        <v>0</v>
      </c>
      <c r="AA144">
        <f t="shared" si="4"/>
        <v>6</v>
      </c>
      <c r="AJ144" t="str">
        <f>Worksheet!$E$3</f>
        <v>0</v>
      </c>
      <c r="AK144">
        <f>Worksheet!R141</f>
        <v>0</v>
      </c>
      <c r="AL144">
        <f t="shared" si="5"/>
        <v>4</v>
      </c>
    </row>
    <row r="145" spans="25:38" x14ac:dyDescent="0.25">
      <c r="Y145" t="str">
        <f>Worksheet!$E$3</f>
        <v>0</v>
      </c>
      <c r="Z145">
        <f>Worksheet!R142</f>
        <v>0</v>
      </c>
      <c r="AA145">
        <f t="shared" si="4"/>
        <v>6</v>
      </c>
      <c r="AJ145" t="str">
        <f>Worksheet!$E$3</f>
        <v>0</v>
      </c>
      <c r="AK145">
        <f>Worksheet!R142</f>
        <v>0</v>
      </c>
      <c r="AL145">
        <f t="shared" si="5"/>
        <v>4</v>
      </c>
    </row>
    <row r="146" spans="25:38" x14ac:dyDescent="0.25">
      <c r="Y146" t="str">
        <f>Worksheet!$E$3</f>
        <v>0</v>
      </c>
      <c r="Z146">
        <f>Worksheet!R143</f>
        <v>0</v>
      </c>
      <c r="AA146">
        <f t="shared" si="4"/>
        <v>6</v>
      </c>
      <c r="AJ146" t="str">
        <f>Worksheet!$E$3</f>
        <v>0</v>
      </c>
      <c r="AK146">
        <f>Worksheet!R143</f>
        <v>0</v>
      </c>
      <c r="AL146">
        <f t="shared" si="5"/>
        <v>4</v>
      </c>
    </row>
    <row r="147" spans="25:38" x14ac:dyDescent="0.25">
      <c r="Y147" t="str">
        <f>Worksheet!$E$3</f>
        <v>0</v>
      </c>
      <c r="Z147">
        <f>Worksheet!R144</f>
        <v>0</v>
      </c>
      <c r="AA147">
        <f t="shared" si="4"/>
        <v>6</v>
      </c>
      <c r="AJ147" t="str">
        <f>Worksheet!$E$3</f>
        <v>0</v>
      </c>
      <c r="AK147">
        <f>Worksheet!R144</f>
        <v>0</v>
      </c>
      <c r="AL147">
        <f t="shared" si="5"/>
        <v>4</v>
      </c>
    </row>
    <row r="148" spans="25:38" x14ac:dyDescent="0.25">
      <c r="Y148" t="str">
        <f>Worksheet!$E$3</f>
        <v>0</v>
      </c>
      <c r="Z148">
        <f>Worksheet!R145</f>
        <v>0</v>
      </c>
      <c r="AA148">
        <f t="shared" si="4"/>
        <v>6</v>
      </c>
      <c r="AJ148" t="str">
        <f>Worksheet!$E$3</f>
        <v>0</v>
      </c>
      <c r="AK148">
        <f>Worksheet!R145</f>
        <v>0</v>
      </c>
      <c r="AL148">
        <f t="shared" si="5"/>
        <v>4</v>
      </c>
    </row>
    <row r="149" spans="25:38" x14ac:dyDescent="0.25">
      <c r="Y149" t="str">
        <f>Worksheet!$E$3</f>
        <v>0</v>
      </c>
      <c r="Z149">
        <f>Worksheet!R146</f>
        <v>0</v>
      </c>
      <c r="AA149">
        <f t="shared" si="4"/>
        <v>6</v>
      </c>
      <c r="AJ149" t="str">
        <f>Worksheet!$E$3</f>
        <v>0</v>
      </c>
      <c r="AK149">
        <f>Worksheet!R146</f>
        <v>0</v>
      </c>
      <c r="AL149">
        <f t="shared" si="5"/>
        <v>4</v>
      </c>
    </row>
    <row r="150" spans="25:38" x14ac:dyDescent="0.25">
      <c r="Y150" t="str">
        <f>Worksheet!$E$3</f>
        <v>0</v>
      </c>
      <c r="Z150">
        <f>Worksheet!R147</f>
        <v>0</v>
      </c>
      <c r="AA150">
        <f t="shared" si="4"/>
        <v>6</v>
      </c>
      <c r="AJ150" t="str">
        <f>Worksheet!$E$3</f>
        <v>0</v>
      </c>
      <c r="AK150">
        <f>Worksheet!R147</f>
        <v>0</v>
      </c>
      <c r="AL150">
        <f t="shared" si="5"/>
        <v>4</v>
      </c>
    </row>
    <row r="151" spans="25:38" x14ac:dyDescent="0.25">
      <c r="Y151" t="str">
        <f>Worksheet!$E$3</f>
        <v>0</v>
      </c>
      <c r="Z151">
        <f>Worksheet!R148</f>
        <v>0</v>
      </c>
      <c r="AA151">
        <f t="shared" si="4"/>
        <v>6</v>
      </c>
      <c r="AJ151" t="str">
        <f>Worksheet!$E$3</f>
        <v>0</v>
      </c>
      <c r="AK151">
        <f>Worksheet!R148</f>
        <v>0</v>
      </c>
      <c r="AL151">
        <f t="shared" si="5"/>
        <v>4</v>
      </c>
    </row>
    <row r="152" spans="25:38" x14ac:dyDescent="0.25">
      <c r="Y152" t="str">
        <f>Worksheet!$E$3</f>
        <v>0</v>
      </c>
      <c r="Z152">
        <f>Worksheet!R149</f>
        <v>0</v>
      </c>
      <c r="AA152">
        <f t="shared" si="4"/>
        <v>6</v>
      </c>
      <c r="AJ152" t="str">
        <f>Worksheet!$E$3</f>
        <v>0</v>
      </c>
      <c r="AK152">
        <f>Worksheet!R149</f>
        <v>0</v>
      </c>
      <c r="AL152">
        <f t="shared" si="5"/>
        <v>4</v>
      </c>
    </row>
    <row r="153" spans="25:38" x14ac:dyDescent="0.25">
      <c r="Y153" t="str">
        <f>Worksheet!$E$3</f>
        <v>0</v>
      </c>
      <c r="Z153">
        <f>Worksheet!R150</f>
        <v>0</v>
      </c>
      <c r="AA153">
        <f t="shared" si="4"/>
        <v>6</v>
      </c>
      <c r="AJ153" t="str">
        <f>Worksheet!$E$3</f>
        <v>0</v>
      </c>
      <c r="AK153">
        <f>Worksheet!R150</f>
        <v>0</v>
      </c>
      <c r="AL153">
        <f t="shared" si="5"/>
        <v>4</v>
      </c>
    </row>
    <row r="154" spans="25:38" x14ac:dyDescent="0.25">
      <c r="Y154" t="str">
        <f>Worksheet!$E$3</f>
        <v>0</v>
      </c>
      <c r="Z154">
        <f>Worksheet!R151</f>
        <v>0</v>
      </c>
      <c r="AA154">
        <f t="shared" si="4"/>
        <v>6</v>
      </c>
      <c r="AJ154" t="str">
        <f>Worksheet!$E$3</f>
        <v>0</v>
      </c>
      <c r="AK154">
        <f>Worksheet!R151</f>
        <v>0</v>
      </c>
      <c r="AL154">
        <f t="shared" si="5"/>
        <v>4</v>
      </c>
    </row>
    <row r="155" spans="25:38" x14ac:dyDescent="0.25">
      <c r="Y155" t="str">
        <f>Worksheet!$E$3</f>
        <v>0</v>
      </c>
      <c r="Z155">
        <f>Worksheet!R152</f>
        <v>0</v>
      </c>
      <c r="AA155">
        <f t="shared" si="4"/>
        <v>6</v>
      </c>
      <c r="AJ155" t="str">
        <f>Worksheet!$E$3</f>
        <v>0</v>
      </c>
      <c r="AK155">
        <f>Worksheet!R152</f>
        <v>0</v>
      </c>
      <c r="AL155">
        <f t="shared" si="5"/>
        <v>4</v>
      </c>
    </row>
    <row r="156" spans="25:38" x14ac:dyDescent="0.25">
      <c r="Y156" t="str">
        <f>Worksheet!$E$3</f>
        <v>0</v>
      </c>
      <c r="Z156">
        <f>Worksheet!R153</f>
        <v>0</v>
      </c>
      <c r="AA156">
        <f t="shared" si="4"/>
        <v>6</v>
      </c>
      <c r="AJ156" t="str">
        <f>Worksheet!$E$3</f>
        <v>0</v>
      </c>
      <c r="AK156">
        <f>Worksheet!R153</f>
        <v>0</v>
      </c>
      <c r="AL156">
        <f t="shared" si="5"/>
        <v>4</v>
      </c>
    </row>
    <row r="157" spans="25:38" x14ac:dyDescent="0.25">
      <c r="Y157" t="str">
        <f>Worksheet!$E$3</f>
        <v>0</v>
      </c>
      <c r="Z157">
        <f>Worksheet!R154</f>
        <v>0</v>
      </c>
      <c r="AA157">
        <f t="shared" si="4"/>
        <v>6</v>
      </c>
      <c r="AJ157" t="str">
        <f>Worksheet!$E$3</f>
        <v>0</v>
      </c>
      <c r="AK157">
        <f>Worksheet!R154</f>
        <v>0</v>
      </c>
      <c r="AL157">
        <f t="shared" si="5"/>
        <v>4</v>
      </c>
    </row>
    <row r="158" spans="25:38" x14ac:dyDescent="0.25">
      <c r="Y158" t="str">
        <f>Worksheet!$E$3</f>
        <v>0</v>
      </c>
      <c r="Z158">
        <f>Worksheet!R155</f>
        <v>0</v>
      </c>
      <c r="AA158">
        <f t="shared" si="4"/>
        <v>6</v>
      </c>
      <c r="AJ158" t="str">
        <f>Worksheet!$E$3</f>
        <v>0</v>
      </c>
      <c r="AK158">
        <f>Worksheet!R155</f>
        <v>0</v>
      </c>
      <c r="AL158">
        <f t="shared" si="5"/>
        <v>4</v>
      </c>
    </row>
    <row r="159" spans="25:38" x14ac:dyDescent="0.25">
      <c r="Y159" t="str">
        <f>Worksheet!$E$3</f>
        <v>0</v>
      </c>
      <c r="Z159">
        <f>Worksheet!R156</f>
        <v>0</v>
      </c>
      <c r="AA159">
        <f t="shared" si="4"/>
        <v>6</v>
      </c>
      <c r="AJ159" t="str">
        <f>Worksheet!$E$3</f>
        <v>0</v>
      </c>
      <c r="AK159">
        <f>Worksheet!R156</f>
        <v>0</v>
      </c>
      <c r="AL159">
        <f t="shared" si="5"/>
        <v>4</v>
      </c>
    </row>
    <row r="160" spans="25:38" x14ac:dyDescent="0.25">
      <c r="Y160" t="str">
        <f>Worksheet!$E$3</f>
        <v>0</v>
      </c>
      <c r="Z160">
        <f>Worksheet!R157</f>
        <v>0</v>
      </c>
      <c r="AA160">
        <f t="shared" si="4"/>
        <v>6</v>
      </c>
      <c r="AJ160" t="str">
        <f>Worksheet!$E$3</f>
        <v>0</v>
      </c>
      <c r="AK160">
        <f>Worksheet!R157</f>
        <v>0</v>
      </c>
      <c r="AL160">
        <f t="shared" si="5"/>
        <v>4</v>
      </c>
    </row>
    <row r="161" spans="25:38" x14ac:dyDescent="0.25">
      <c r="Y161" t="str">
        <f>Worksheet!$E$3</f>
        <v>0</v>
      </c>
      <c r="Z161">
        <f>Worksheet!R158</f>
        <v>0</v>
      </c>
      <c r="AA161">
        <f t="shared" si="4"/>
        <v>6</v>
      </c>
      <c r="AJ161" t="str">
        <f>Worksheet!$E$3</f>
        <v>0</v>
      </c>
      <c r="AK161">
        <f>Worksheet!R158</f>
        <v>0</v>
      </c>
      <c r="AL161">
        <f t="shared" si="5"/>
        <v>4</v>
      </c>
    </row>
    <row r="162" spans="25:38" x14ac:dyDescent="0.25">
      <c r="Y162" t="str">
        <f>Worksheet!$E$3</f>
        <v>0</v>
      </c>
      <c r="Z162">
        <f>Worksheet!R159</f>
        <v>0</v>
      </c>
      <c r="AA162">
        <f t="shared" si="4"/>
        <v>6</v>
      </c>
      <c r="AJ162" t="str">
        <f>Worksheet!$E$3</f>
        <v>0</v>
      </c>
      <c r="AK162">
        <f>Worksheet!R159</f>
        <v>0</v>
      </c>
      <c r="AL162">
        <f t="shared" si="5"/>
        <v>4</v>
      </c>
    </row>
    <row r="163" spans="25:38" x14ac:dyDescent="0.25">
      <c r="Y163" t="str">
        <f>Worksheet!$E$3</f>
        <v>0</v>
      </c>
      <c r="Z163">
        <f>Worksheet!R160</f>
        <v>0</v>
      </c>
      <c r="AA163">
        <f t="shared" si="4"/>
        <v>6</v>
      </c>
      <c r="AJ163" t="str">
        <f>Worksheet!$E$3</f>
        <v>0</v>
      </c>
      <c r="AK163">
        <f>Worksheet!R160</f>
        <v>0</v>
      </c>
      <c r="AL163">
        <f t="shared" si="5"/>
        <v>4</v>
      </c>
    </row>
    <row r="164" spans="25:38" x14ac:dyDescent="0.25">
      <c r="Y164" t="str">
        <f>Worksheet!$E$3</f>
        <v>0</v>
      </c>
      <c r="Z164">
        <f>Worksheet!R161</f>
        <v>0</v>
      </c>
      <c r="AA164">
        <f t="shared" si="4"/>
        <v>6</v>
      </c>
      <c r="AJ164" t="str">
        <f>Worksheet!$E$3</f>
        <v>0</v>
      </c>
      <c r="AK164">
        <f>Worksheet!R161</f>
        <v>0</v>
      </c>
      <c r="AL164">
        <f t="shared" si="5"/>
        <v>4</v>
      </c>
    </row>
    <row r="165" spans="25:38" x14ac:dyDescent="0.25">
      <c r="Y165" t="str">
        <f>Worksheet!$E$3</f>
        <v>0</v>
      </c>
      <c r="Z165">
        <f>Worksheet!R162</f>
        <v>0</v>
      </c>
      <c r="AA165">
        <f t="shared" si="4"/>
        <v>6</v>
      </c>
      <c r="AJ165" t="str">
        <f>Worksheet!$E$3</f>
        <v>0</v>
      </c>
      <c r="AK165">
        <f>Worksheet!R162</f>
        <v>0</v>
      </c>
      <c r="AL165">
        <f t="shared" si="5"/>
        <v>4</v>
      </c>
    </row>
    <row r="166" spans="25:38" x14ac:dyDescent="0.25">
      <c r="Y166" t="str">
        <f>Worksheet!$E$3</f>
        <v>0</v>
      </c>
      <c r="Z166">
        <f>Worksheet!R163</f>
        <v>0</v>
      </c>
      <c r="AA166">
        <f t="shared" si="4"/>
        <v>6</v>
      </c>
      <c r="AJ166" t="str">
        <f>Worksheet!$E$3</f>
        <v>0</v>
      </c>
      <c r="AK166">
        <f>Worksheet!R163</f>
        <v>0</v>
      </c>
      <c r="AL166">
        <f t="shared" si="5"/>
        <v>4</v>
      </c>
    </row>
    <row r="167" spans="25:38" x14ac:dyDescent="0.25">
      <c r="Y167" t="str">
        <f>Worksheet!$E$3</f>
        <v>0</v>
      </c>
      <c r="Z167">
        <f>Worksheet!R164</f>
        <v>0</v>
      </c>
      <c r="AA167">
        <f t="shared" si="4"/>
        <v>6</v>
      </c>
      <c r="AJ167" t="str">
        <f>Worksheet!$E$3</f>
        <v>0</v>
      </c>
      <c r="AK167">
        <f>Worksheet!R164</f>
        <v>0</v>
      </c>
      <c r="AL167">
        <f t="shared" si="5"/>
        <v>4</v>
      </c>
    </row>
    <row r="168" spans="25:38" x14ac:dyDescent="0.25">
      <c r="Y168" t="str">
        <f>Worksheet!$E$3</f>
        <v>0</v>
      </c>
      <c r="Z168">
        <f>Worksheet!R165</f>
        <v>0</v>
      </c>
      <c r="AA168">
        <f t="shared" si="4"/>
        <v>6</v>
      </c>
      <c r="AJ168" t="str">
        <f>Worksheet!$E$3</f>
        <v>0</v>
      </c>
      <c r="AK168">
        <f>Worksheet!R165</f>
        <v>0</v>
      </c>
      <c r="AL168">
        <f t="shared" si="5"/>
        <v>4</v>
      </c>
    </row>
    <row r="169" spans="25:38" x14ac:dyDescent="0.25">
      <c r="Y169" t="str">
        <f>Worksheet!$E$3</f>
        <v>0</v>
      </c>
      <c r="Z169">
        <f>Worksheet!R166</f>
        <v>0</v>
      </c>
      <c r="AA169">
        <f t="shared" si="4"/>
        <v>6</v>
      </c>
      <c r="AJ169" t="str">
        <f>Worksheet!$E$3</f>
        <v>0</v>
      </c>
      <c r="AK169">
        <f>Worksheet!R166</f>
        <v>0</v>
      </c>
      <c r="AL169">
        <f t="shared" si="5"/>
        <v>4</v>
      </c>
    </row>
    <row r="170" spans="25:38" x14ac:dyDescent="0.25">
      <c r="Y170" t="str">
        <f>Worksheet!$E$3</f>
        <v>0</v>
      </c>
      <c r="Z170">
        <f>Worksheet!R167</f>
        <v>0</v>
      </c>
      <c r="AA170">
        <f t="shared" si="4"/>
        <v>6</v>
      </c>
      <c r="AJ170" t="str">
        <f>Worksheet!$E$3</f>
        <v>0</v>
      </c>
      <c r="AK170">
        <f>Worksheet!R167</f>
        <v>0</v>
      </c>
      <c r="AL170">
        <f t="shared" si="5"/>
        <v>4</v>
      </c>
    </row>
    <row r="171" spans="25:38" x14ac:dyDescent="0.25">
      <c r="Y171" t="str">
        <f>Worksheet!$E$3</f>
        <v>0</v>
      </c>
      <c r="Z171">
        <f>Worksheet!R168</f>
        <v>0</v>
      </c>
      <c r="AA171">
        <f t="shared" si="4"/>
        <v>6</v>
      </c>
      <c r="AJ171" t="str">
        <f>Worksheet!$E$3</f>
        <v>0</v>
      </c>
      <c r="AK171">
        <f>Worksheet!R168</f>
        <v>0</v>
      </c>
      <c r="AL171">
        <f t="shared" si="5"/>
        <v>4</v>
      </c>
    </row>
    <row r="172" spans="25:38" x14ac:dyDescent="0.25">
      <c r="Y172" t="str">
        <f>Worksheet!$E$3</f>
        <v>0</v>
      </c>
      <c r="Z172">
        <f>Worksheet!R169</f>
        <v>0</v>
      </c>
      <c r="AA172">
        <f t="shared" si="4"/>
        <v>6</v>
      </c>
      <c r="AJ172" t="str">
        <f>Worksheet!$E$3</f>
        <v>0</v>
      </c>
      <c r="AK172">
        <f>Worksheet!R169</f>
        <v>0</v>
      </c>
      <c r="AL172">
        <f t="shared" si="5"/>
        <v>4</v>
      </c>
    </row>
    <row r="173" spans="25:38" x14ac:dyDescent="0.25">
      <c r="Y173" t="str">
        <f>Worksheet!$E$3</f>
        <v>0</v>
      </c>
      <c r="Z173">
        <f>Worksheet!R170</f>
        <v>0</v>
      </c>
      <c r="AA173">
        <f t="shared" si="4"/>
        <v>6</v>
      </c>
      <c r="AJ173" t="str">
        <f>Worksheet!$E$3</f>
        <v>0</v>
      </c>
      <c r="AK173">
        <f>Worksheet!R170</f>
        <v>0</v>
      </c>
      <c r="AL173">
        <f t="shared" si="5"/>
        <v>4</v>
      </c>
    </row>
    <row r="174" spans="25:38" x14ac:dyDescent="0.25">
      <c r="Y174" t="str">
        <f>Worksheet!$E$3</f>
        <v>0</v>
      </c>
      <c r="Z174">
        <f>Worksheet!R171</f>
        <v>0</v>
      </c>
      <c r="AA174">
        <f t="shared" si="4"/>
        <v>6</v>
      </c>
      <c r="AJ174" t="str">
        <f>Worksheet!$E$3</f>
        <v>0</v>
      </c>
      <c r="AK174">
        <f>Worksheet!R171</f>
        <v>0</v>
      </c>
      <c r="AL174">
        <f t="shared" si="5"/>
        <v>4</v>
      </c>
    </row>
    <row r="175" spans="25:38" x14ac:dyDescent="0.25">
      <c r="Y175" t="str">
        <f>Worksheet!$E$3</f>
        <v>0</v>
      </c>
      <c r="Z175">
        <f>Worksheet!R172</f>
        <v>0</v>
      </c>
      <c r="AA175">
        <f t="shared" si="4"/>
        <v>6</v>
      </c>
      <c r="AJ175" t="str">
        <f>Worksheet!$E$3</f>
        <v>0</v>
      </c>
      <c r="AK175">
        <f>Worksheet!R172</f>
        <v>0</v>
      </c>
      <c r="AL175">
        <f t="shared" si="5"/>
        <v>4</v>
      </c>
    </row>
    <row r="176" spans="25:38" x14ac:dyDescent="0.25">
      <c r="Y176" t="str">
        <f>Worksheet!$E$3</f>
        <v>0</v>
      </c>
      <c r="Z176">
        <f>Worksheet!R173</f>
        <v>0</v>
      </c>
      <c r="AA176">
        <f t="shared" si="4"/>
        <v>6</v>
      </c>
      <c r="AJ176" t="str">
        <f>Worksheet!$E$3</f>
        <v>0</v>
      </c>
      <c r="AK176">
        <f>Worksheet!R173</f>
        <v>0</v>
      </c>
      <c r="AL176">
        <f t="shared" si="5"/>
        <v>4</v>
      </c>
    </row>
    <row r="177" spans="25:38" x14ac:dyDescent="0.25">
      <c r="Y177" t="str">
        <f>Worksheet!$E$3</f>
        <v>0</v>
      </c>
      <c r="Z177">
        <f>Worksheet!R174</f>
        <v>0</v>
      </c>
      <c r="AA177">
        <f t="shared" si="4"/>
        <v>6</v>
      </c>
      <c r="AJ177" t="str">
        <f>Worksheet!$E$3</f>
        <v>0</v>
      </c>
      <c r="AK177">
        <f>Worksheet!R174</f>
        <v>0</v>
      </c>
      <c r="AL177">
        <f t="shared" si="5"/>
        <v>4</v>
      </c>
    </row>
    <row r="178" spans="25:38" x14ac:dyDescent="0.25">
      <c r="Y178" t="str">
        <f>Worksheet!$E$3</f>
        <v>0</v>
      </c>
      <c r="Z178">
        <f>Worksheet!R175</f>
        <v>0</v>
      </c>
      <c r="AA178">
        <f t="shared" si="4"/>
        <v>6</v>
      </c>
      <c r="AJ178" t="str">
        <f>Worksheet!$E$3</f>
        <v>0</v>
      </c>
      <c r="AK178">
        <f>Worksheet!R175</f>
        <v>0</v>
      </c>
      <c r="AL178">
        <f t="shared" si="5"/>
        <v>4</v>
      </c>
    </row>
    <row r="179" spans="25:38" x14ac:dyDescent="0.25">
      <c r="Y179" t="str">
        <f>Worksheet!$E$3</f>
        <v>0</v>
      </c>
      <c r="Z179">
        <f>Worksheet!R176</f>
        <v>0</v>
      </c>
      <c r="AA179">
        <f t="shared" si="4"/>
        <v>6</v>
      </c>
      <c r="AJ179" t="str">
        <f>Worksheet!$E$3</f>
        <v>0</v>
      </c>
      <c r="AK179">
        <f>Worksheet!R176</f>
        <v>0</v>
      </c>
      <c r="AL179">
        <f t="shared" si="5"/>
        <v>4</v>
      </c>
    </row>
    <row r="180" spans="25:38" x14ac:dyDescent="0.25">
      <c r="Y180" t="str">
        <f>Worksheet!$E$3</f>
        <v>0</v>
      </c>
      <c r="Z180">
        <f>Worksheet!R177</f>
        <v>0</v>
      </c>
      <c r="AA180">
        <f t="shared" si="4"/>
        <v>6</v>
      </c>
      <c r="AJ180" t="str">
        <f>Worksheet!$E$3</f>
        <v>0</v>
      </c>
      <c r="AK180">
        <f>Worksheet!R177</f>
        <v>0</v>
      </c>
      <c r="AL180">
        <f t="shared" si="5"/>
        <v>4</v>
      </c>
    </row>
    <row r="181" spans="25:38" x14ac:dyDescent="0.25">
      <c r="Y181" t="str">
        <f>Worksheet!$E$3</f>
        <v>0</v>
      </c>
      <c r="Z181">
        <f>Worksheet!R178</f>
        <v>0</v>
      </c>
      <c r="AA181">
        <f t="shared" si="4"/>
        <v>6</v>
      </c>
      <c r="AJ181" t="str">
        <f>Worksheet!$E$3</f>
        <v>0</v>
      </c>
      <c r="AK181">
        <f>Worksheet!R178</f>
        <v>0</v>
      </c>
      <c r="AL181">
        <f t="shared" si="5"/>
        <v>4</v>
      </c>
    </row>
    <row r="182" spans="25:38" x14ac:dyDescent="0.25">
      <c r="Y182" t="str">
        <f>Worksheet!$E$3</f>
        <v>0</v>
      </c>
      <c r="Z182">
        <f>Worksheet!R179</f>
        <v>0</v>
      </c>
      <c r="AA182">
        <f t="shared" si="4"/>
        <v>6</v>
      </c>
      <c r="AJ182" t="str">
        <f>Worksheet!$E$3</f>
        <v>0</v>
      </c>
      <c r="AK182">
        <f>Worksheet!R179</f>
        <v>0</v>
      </c>
      <c r="AL182">
        <f t="shared" si="5"/>
        <v>4</v>
      </c>
    </row>
    <row r="183" spans="25:38" x14ac:dyDescent="0.25">
      <c r="Y183" t="str">
        <f>Worksheet!$E$3</f>
        <v>0</v>
      </c>
      <c r="Z183">
        <f>Worksheet!R180</f>
        <v>0</v>
      </c>
      <c r="AA183">
        <f t="shared" si="4"/>
        <v>6</v>
      </c>
      <c r="AJ183" t="str">
        <f>Worksheet!$E$3</f>
        <v>0</v>
      </c>
      <c r="AK183">
        <f>Worksheet!R180</f>
        <v>0</v>
      </c>
      <c r="AL183">
        <f t="shared" si="5"/>
        <v>4</v>
      </c>
    </row>
    <row r="184" spans="25:38" x14ac:dyDescent="0.25">
      <c r="Y184" t="str">
        <f>Worksheet!$E$3</f>
        <v>0</v>
      </c>
      <c r="Z184">
        <f>Worksheet!R181</f>
        <v>0</v>
      </c>
      <c r="AA184">
        <f t="shared" si="4"/>
        <v>6</v>
      </c>
      <c r="AJ184" t="str">
        <f>Worksheet!$E$3</f>
        <v>0</v>
      </c>
      <c r="AK184">
        <f>Worksheet!R181</f>
        <v>0</v>
      </c>
      <c r="AL184">
        <f t="shared" si="5"/>
        <v>4</v>
      </c>
    </row>
    <row r="185" spans="25:38" x14ac:dyDescent="0.25">
      <c r="Y185" t="str">
        <f>Worksheet!$E$3</f>
        <v>0</v>
      </c>
      <c r="Z185">
        <f>Worksheet!R182</f>
        <v>0</v>
      </c>
      <c r="AA185">
        <f t="shared" si="4"/>
        <v>6</v>
      </c>
      <c r="AJ185" t="str">
        <f>Worksheet!$E$3</f>
        <v>0</v>
      </c>
      <c r="AK185">
        <f>Worksheet!R182</f>
        <v>0</v>
      </c>
      <c r="AL185">
        <f t="shared" si="5"/>
        <v>4</v>
      </c>
    </row>
    <row r="186" spans="25:38" x14ac:dyDescent="0.25">
      <c r="Y186" t="str">
        <f>Worksheet!$E$3</f>
        <v>0</v>
      </c>
      <c r="Z186">
        <f>Worksheet!R183</f>
        <v>0</v>
      </c>
      <c r="AA186">
        <f t="shared" si="4"/>
        <v>6</v>
      </c>
      <c r="AJ186" t="str">
        <f>Worksheet!$E$3</f>
        <v>0</v>
      </c>
      <c r="AK186">
        <f>Worksheet!R183</f>
        <v>0</v>
      </c>
      <c r="AL186">
        <f t="shared" si="5"/>
        <v>4</v>
      </c>
    </row>
    <row r="187" spans="25:38" x14ac:dyDescent="0.25">
      <c r="Y187" t="str">
        <f>Worksheet!$E$3</f>
        <v>0</v>
      </c>
      <c r="Z187">
        <f>Worksheet!R184</f>
        <v>0</v>
      </c>
      <c r="AA187">
        <f t="shared" si="4"/>
        <v>6</v>
      </c>
      <c r="AJ187" t="str">
        <f>Worksheet!$E$3</f>
        <v>0</v>
      </c>
      <c r="AK187">
        <f>Worksheet!R184</f>
        <v>0</v>
      </c>
      <c r="AL187">
        <f t="shared" si="5"/>
        <v>4</v>
      </c>
    </row>
    <row r="188" spans="25:38" x14ac:dyDescent="0.25">
      <c r="Y188" t="str">
        <f>Worksheet!$E$3</f>
        <v>0</v>
      </c>
      <c r="Z188">
        <f>Worksheet!R185</f>
        <v>0</v>
      </c>
      <c r="AA188">
        <f t="shared" si="4"/>
        <v>6</v>
      </c>
      <c r="AJ188" t="str">
        <f>Worksheet!$E$3</f>
        <v>0</v>
      </c>
      <c r="AK188">
        <f>Worksheet!R185</f>
        <v>0</v>
      </c>
      <c r="AL188">
        <f t="shared" si="5"/>
        <v>4</v>
      </c>
    </row>
    <row r="189" spans="25:38" x14ac:dyDescent="0.25">
      <c r="Y189" t="str">
        <f>Worksheet!$E$3</f>
        <v>0</v>
      </c>
      <c r="Z189">
        <f>Worksheet!R186</f>
        <v>0</v>
      </c>
      <c r="AA189">
        <f t="shared" si="4"/>
        <v>6</v>
      </c>
      <c r="AJ189" t="str">
        <f>Worksheet!$E$3</f>
        <v>0</v>
      </c>
      <c r="AK189">
        <f>Worksheet!R186</f>
        <v>0</v>
      </c>
      <c r="AL189">
        <f t="shared" si="5"/>
        <v>4</v>
      </c>
    </row>
    <row r="190" spans="25:38" x14ac:dyDescent="0.25">
      <c r="Y190" t="str">
        <f>Worksheet!$E$3</f>
        <v>0</v>
      </c>
      <c r="Z190">
        <f>Worksheet!R187</f>
        <v>0</v>
      </c>
      <c r="AA190">
        <f t="shared" si="4"/>
        <v>6</v>
      </c>
      <c r="AJ190" t="str">
        <f>Worksheet!$E$3</f>
        <v>0</v>
      </c>
      <c r="AK190">
        <f>Worksheet!R187</f>
        <v>0</v>
      </c>
      <c r="AL190">
        <f t="shared" si="5"/>
        <v>4</v>
      </c>
    </row>
    <row r="191" spans="25:38" x14ac:dyDescent="0.25">
      <c r="Y191" t="str">
        <f>Worksheet!$E$3</f>
        <v>0</v>
      </c>
      <c r="Z191">
        <f>Worksheet!R188</f>
        <v>0</v>
      </c>
      <c r="AA191">
        <f t="shared" si="4"/>
        <v>6</v>
      </c>
      <c r="AJ191" t="str">
        <f>Worksheet!$E$3</f>
        <v>0</v>
      </c>
      <c r="AK191">
        <f>Worksheet!R188</f>
        <v>0</v>
      </c>
      <c r="AL191">
        <f t="shared" si="5"/>
        <v>4</v>
      </c>
    </row>
    <row r="192" spans="25:38" x14ac:dyDescent="0.25">
      <c r="Y192" t="str">
        <f>Worksheet!$E$3</f>
        <v>0</v>
      </c>
      <c r="Z192">
        <f>Worksheet!R189</f>
        <v>0</v>
      </c>
      <c r="AA192">
        <f t="shared" si="4"/>
        <v>6</v>
      </c>
      <c r="AJ192" t="str">
        <f>Worksheet!$E$3</f>
        <v>0</v>
      </c>
      <c r="AK192">
        <f>Worksheet!R189</f>
        <v>0</v>
      </c>
      <c r="AL192">
        <f t="shared" si="5"/>
        <v>4</v>
      </c>
    </row>
    <row r="193" spans="25:38" x14ac:dyDescent="0.25">
      <c r="Y193" t="str">
        <f>Worksheet!$E$3</f>
        <v>0</v>
      </c>
      <c r="Z193">
        <f>Worksheet!R190</f>
        <v>0</v>
      </c>
      <c r="AA193">
        <f t="shared" si="4"/>
        <v>6</v>
      </c>
      <c r="AJ193" t="str">
        <f>Worksheet!$E$3</f>
        <v>0</v>
      </c>
      <c r="AK193">
        <f>Worksheet!R190</f>
        <v>0</v>
      </c>
      <c r="AL193">
        <f t="shared" si="5"/>
        <v>4</v>
      </c>
    </row>
    <row r="194" spans="25:38" x14ac:dyDescent="0.25">
      <c r="Y194" t="str">
        <f>Worksheet!$E$3</f>
        <v>0</v>
      </c>
      <c r="Z194">
        <f>Worksheet!R191</f>
        <v>0</v>
      </c>
      <c r="AA194">
        <f t="shared" si="4"/>
        <v>6</v>
      </c>
      <c r="AJ194" t="str">
        <f>Worksheet!$E$3</f>
        <v>0</v>
      </c>
      <c r="AK194">
        <f>Worksheet!R191</f>
        <v>0</v>
      </c>
      <c r="AL194">
        <f t="shared" si="5"/>
        <v>4</v>
      </c>
    </row>
    <row r="195" spans="25:38" x14ac:dyDescent="0.25">
      <c r="Y195" t="str">
        <f>Worksheet!$E$3</f>
        <v>0</v>
      </c>
      <c r="Z195">
        <f>Worksheet!R192</f>
        <v>0</v>
      </c>
      <c r="AA195">
        <f t="shared" si="4"/>
        <v>6</v>
      </c>
      <c r="AJ195" t="str">
        <f>Worksheet!$E$3</f>
        <v>0</v>
      </c>
      <c r="AK195">
        <f>Worksheet!R192</f>
        <v>0</v>
      </c>
      <c r="AL195">
        <f t="shared" si="5"/>
        <v>4</v>
      </c>
    </row>
    <row r="196" spans="25:38" x14ac:dyDescent="0.25">
      <c r="Y196" t="str">
        <f>Worksheet!$E$3</f>
        <v>0</v>
      </c>
      <c r="Z196">
        <f>Worksheet!R193</f>
        <v>0</v>
      </c>
      <c r="AA196">
        <f t="shared" si="4"/>
        <v>6</v>
      </c>
      <c r="AJ196" t="str">
        <f>Worksheet!$E$3</f>
        <v>0</v>
      </c>
      <c r="AK196">
        <f>Worksheet!R193</f>
        <v>0</v>
      </c>
      <c r="AL196">
        <f t="shared" si="5"/>
        <v>4</v>
      </c>
    </row>
    <row r="197" spans="25:38" x14ac:dyDescent="0.25">
      <c r="Y197" t="str">
        <f>Worksheet!$E$3</f>
        <v>0</v>
      </c>
      <c r="Z197">
        <f>Worksheet!R194</f>
        <v>0</v>
      </c>
      <c r="AA197">
        <f t="shared" si="4"/>
        <v>6</v>
      </c>
      <c r="AJ197" t="str">
        <f>Worksheet!$E$3</f>
        <v>0</v>
      </c>
      <c r="AK197">
        <f>Worksheet!R194</f>
        <v>0</v>
      </c>
      <c r="AL197">
        <f t="shared" si="5"/>
        <v>4</v>
      </c>
    </row>
    <row r="198" spans="25:38" x14ac:dyDescent="0.25">
      <c r="Y198" t="str">
        <f>Worksheet!$E$3</f>
        <v>0</v>
      </c>
      <c r="Z198">
        <f>Worksheet!R195</f>
        <v>0</v>
      </c>
      <c r="AA198">
        <f t="shared" si="4"/>
        <v>6</v>
      </c>
      <c r="AJ198" t="str">
        <f>Worksheet!$E$3</f>
        <v>0</v>
      </c>
      <c r="AK198">
        <f>Worksheet!R195</f>
        <v>0</v>
      </c>
      <c r="AL198">
        <f t="shared" si="5"/>
        <v>4</v>
      </c>
    </row>
    <row r="199" spans="25:38" x14ac:dyDescent="0.25">
      <c r="Y199" t="str">
        <f>Worksheet!$E$3</f>
        <v>0</v>
      </c>
      <c r="Z199">
        <f>Worksheet!R196</f>
        <v>0</v>
      </c>
      <c r="AA199">
        <f t="shared" si="4"/>
        <v>6</v>
      </c>
      <c r="AJ199" t="str">
        <f>Worksheet!$E$3</f>
        <v>0</v>
      </c>
      <c r="AK199">
        <f>Worksheet!R196</f>
        <v>0</v>
      </c>
      <c r="AL199">
        <f t="shared" si="5"/>
        <v>4</v>
      </c>
    </row>
    <row r="200" spans="25:38" x14ac:dyDescent="0.25">
      <c r="Y200" t="str">
        <f>Worksheet!$E$3</f>
        <v>0</v>
      </c>
      <c r="Z200">
        <f>Worksheet!R197</f>
        <v>0</v>
      </c>
      <c r="AA200">
        <f t="shared" si="4"/>
        <v>6</v>
      </c>
      <c r="AJ200" t="str">
        <f>Worksheet!$E$3</f>
        <v>0</v>
      </c>
      <c r="AK200">
        <f>Worksheet!R197</f>
        <v>0</v>
      </c>
      <c r="AL200">
        <f t="shared" si="5"/>
        <v>4</v>
      </c>
    </row>
  </sheetData>
  <sheetProtection password="CC48" sheet="1" objects="1" scenarios="1" selectLockedCells="1" selectUnlockedCells="1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8"/>
  <sheetViews>
    <sheetView workbookViewId="0">
      <selection activeCell="B18" sqref="B18"/>
    </sheetView>
  </sheetViews>
  <sheetFormatPr defaultRowHeight="15" x14ac:dyDescent="0.25"/>
  <cols>
    <col min="1" max="1" width="20.85546875" customWidth="1"/>
    <col min="2" max="2" width="145.28515625" customWidth="1"/>
  </cols>
  <sheetData>
    <row r="1" spans="1:2" x14ac:dyDescent="0.25">
      <c r="A1" t="s">
        <v>0</v>
      </c>
      <c r="B1" t="s">
        <v>169</v>
      </c>
    </row>
    <row r="2" spans="1:2" x14ac:dyDescent="0.25">
      <c r="A2" s="72">
        <v>42032</v>
      </c>
      <c r="B2" t="s">
        <v>170</v>
      </c>
    </row>
    <row r="3" spans="1:2" x14ac:dyDescent="0.25">
      <c r="A3" s="72">
        <v>42074</v>
      </c>
      <c r="B3" t="s">
        <v>171</v>
      </c>
    </row>
    <row r="4" spans="1:2" x14ac:dyDescent="0.25">
      <c r="A4" s="72">
        <v>42747</v>
      </c>
      <c r="B4" t="s">
        <v>172</v>
      </c>
    </row>
    <row r="5" spans="1:2" x14ac:dyDescent="0.25">
      <c r="A5" s="72">
        <v>45449</v>
      </c>
      <c r="B5" t="s">
        <v>173</v>
      </c>
    </row>
    <row r="6" spans="1:2" x14ac:dyDescent="0.25">
      <c r="A6" s="72">
        <v>45589</v>
      </c>
      <c r="B6" t="s">
        <v>174</v>
      </c>
    </row>
    <row r="7" spans="1:2" x14ac:dyDescent="0.25">
      <c r="A7" s="72">
        <v>45688</v>
      </c>
      <c r="B7" t="s">
        <v>175</v>
      </c>
    </row>
    <row r="8" spans="1:2" x14ac:dyDescent="0.25">
      <c r="A8" s="72">
        <v>45688</v>
      </c>
      <c r="B8" t="s">
        <v>176</v>
      </c>
    </row>
  </sheetData>
  <sheetProtection algorithmName="SHA-512" hashValue="O4Tgq0qrkNaemCJNYaZG41cm2RLbjhzDLFBgSD/7gas6lO2nuoD2OL3safH42w6bntcKJqHJCTykyZCGGqmA3g==" saltValue="qWOFRks7aNvdYf9q3jcUrg==" spinCount="100000" sheet="1" selectLockedCells="1" selectUn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Props1.xml><?xml version="1.0" encoding="utf-8"?>
<ds:datastoreItem xmlns:ds="http://schemas.openxmlformats.org/officeDocument/2006/customXml" ds:itemID="{4F2097E2-081E-4701-B26C-8EFC81A1C3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8AE46A-BC09-421D-8D68-8DDDC8D33B2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FA3AF2-4BE9-48BE-9ED1-59C5C29227E3}">
  <ds:schemaRefs>
    <ds:schemaRef ds:uri="http://schemas.microsoft.com/office/2006/metadata/properties"/>
    <ds:schemaRef ds:uri="http://schemas.microsoft.com/office/infopath/2007/PartnerControls"/>
    <ds:schemaRef ds:uri="a7c4c7f9-987c-475d-a26a-521e5d0f4dc5"/>
    <ds:schemaRef ds:uri="1ed8a9e0-df63-4c43-b0d4-c670c11769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Worksheet</vt:lpstr>
      <vt:lpstr>Print off Sheet</vt:lpstr>
      <vt:lpstr>Templates</vt:lpstr>
      <vt:lpstr>Uncertainties</vt:lpstr>
      <vt:lpstr>Tolerances</vt:lpstr>
      <vt:lpstr>Software Validation</vt:lpstr>
      <vt:lpstr>Worksheet!Print_Area</vt:lpstr>
    </vt:vector>
  </TitlesOfParts>
  <Manager>Johnny Voght</Manager>
  <Company>Johnson Gage &amp; Inspection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Block Worksheet</dc:title>
  <dc:subject/>
  <dc:creator>Johnny Vogt</dc:creator>
  <cp:keywords/>
  <dc:description/>
  <cp:lastModifiedBy>Jeff Hall</cp:lastModifiedBy>
  <cp:revision/>
  <dcterms:created xsi:type="dcterms:W3CDTF">2013-02-28T17:21:11Z</dcterms:created>
  <dcterms:modified xsi:type="dcterms:W3CDTF">2025-02-14T20:11:47Z</dcterms:modified>
  <cp:category>Approved Software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